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ssumptions" sheetId="1" r:id="rId1"/>
    <sheet name="Revenue" sheetId="2" r:id="rId2"/>
    <sheet name="P&amp;L" sheetId="3" r:id="rId3"/>
    <sheet name="Summary" sheetId="4" r:id="rId4"/>
  </sheets>
  <definedNames>
    <definedName name="Churn">Assumptions!$B$5</definedName>
    <definedName name="CogsShare">Assumptions!$B$6</definedName>
    <definedName name="Hosting">Assumptions!$B$8</definedName>
    <definedName name="NewSeats">Assumptions!$B$3</definedName>
    <definedName name="Opex">Assumptions!$B$7</definedName>
    <definedName name="Price">Assumptions!$B$4</definedName>
    <definedName name="StartSeats">Assumptions!$B$2</definedName>
  </definedNames>
  <calcPr calcId="191029"/>
</workbook>
</file>

<file path=xl/comments1.xml><?xml version="1.0" encoding="utf-8"?>
<comments xmlns="http://schemas.openxmlformats.org/spreadsheetml/2006/main">
  <authors>
    <author>Dana Whitfield</author>
  </authors>
  <commentList>
    <comment ref="B3" authorId="0">
      <text>
        <r>
          <t xml:space="preserve">Based on the Q3 pipeline.</t>
        </r>
      </text>
    </comment>
  </commentList>
</comments>
</file>

<file path=xl/sharedStrings.xml><?xml version="1.0" encoding="utf-8"?>
<sst xmlns="http://schemas.openxmlformats.org/spreadsheetml/2006/main" count="27" uniqueCount="25">
  <si>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</si>
  <si>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</si>
  <si>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</si>
  <si>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</si>
  <si>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</si>
  <si>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</si>
  <si>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</si>
  <si>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</si>
  <si>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Hosting per month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</si>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</sst>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8" customWidth="1"/>
    <col min="2" max="2" width="14" customWidth="1"/>
  </cols>
  <sheetData>
    <row r="1" spans="1:2">
      <c r="A1" s="4" t="s">
        <v>0</v>
      </c>
      <c r="B1" s="4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15</v>
      </c>
    </row>
    <row r="4" spans="1:2">
      <c r="A4" t="s">
        <v>4</v>
      </c>
      <c r="B4" s="5">
        <v>49</v>
      </c>
    </row>
    <row r="5" spans="1:2">
      <c r="A5" t="s">
        <v>5</v>
      </c>
      <c r="B5" s="7">
        <v>0.02</v>
      </c>
    </row>
    <row r="6" spans="1:2">
      <c r="A6" t="s">
        <v>6</v>
      </c>
      <c r="B6" s="1">
        <v>0.18</v>
      </c>
    </row>
    <row r="7" spans="1:2">
      <c r="A7" t="s">
        <v>7</v>
      </c>
      <c r="B7" s="5">
        <v>85000</v>
      </c>
    </row>
    <row r="8" spans="1:2">
      <c r="A8" t="s">
        <v>8</v>
      </c>
      <c r="B8" s="5">
        <v>1200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 spans="1: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</row>
    <row r="2" spans="1:5">
      <c r="A2">
        <v>1</v>
      </c>
      <c r="B2" s="2">
        <f>StartSeats</f>
        <v>120</v>
      </c>
      <c r="C2" s="8">
        <f t="shared" ref="C2:C25" si="1">B2*Price*(1-Churn)</f>
        <v>5762.4</v>
      </c>
      <c r="D2" s="8">
        <f t="shared" ref="D2:D25" si="2">C2*CogsShare+Hosting</f>
        <v>2237.232</v>
      </c>
      <c r="E2" s="8">
        <f t="shared" ref="E2:E25" si="3">C2-D2</f>
        <v>3525.168</v>
      </c>
    </row>
    <row r="3" spans="1:5">
      <c r="A3">
        <v>2</v>
      </c>
      <c r="B3" s="2">
        <f t="shared" ref="B3:B25" si="0">B2+NewSeats</f>
        <v>135</v>
      </c>
      <c r="C3" s="8">
        <f t="shared" si="1"/>
        <v>6482.7</v>
      </c>
      <c r="D3" s="8">
        <f t="shared" si="2"/>
        <v>2366.886</v>
      </c>
      <c r="E3" s="8">
        <f t="shared" si="3"/>
        <v>4115.814</v>
      </c>
    </row>
    <row r="4" spans="1:5">
      <c r="A4">
        <v>3</v>
      </c>
      <c r="B4" s="2">
        <f t="shared" si="0"/>
        <v>150</v>
      </c>
      <c r="C4" s="8">
        <f t="shared" si="1"/>
        <v>7203</v>
      </c>
      <c r="D4" s="8">
        <f t="shared" si="2"/>
        <v>2496.54</v>
      </c>
      <c r="E4" s="8">
        <f t="shared" si="3"/>
        <v>4706.46</v>
      </c>
    </row>
    <row r="5" spans="1:5">
      <c r="A5">
        <v>4</v>
      </c>
      <c r="B5" s="2">
        <f t="shared" si="0"/>
        <v>165</v>
      </c>
      <c r="C5" s="8">
        <f t="shared" si="1"/>
        <v>7923.3</v>
      </c>
      <c r="D5" s="8">
        <f t="shared" si="2"/>
        <v>2626.194</v>
      </c>
      <c r="E5" s="8">
        <f t="shared" si="3"/>
        <v>5297.106</v>
      </c>
    </row>
    <row r="6" spans="1:5">
      <c r="A6">
        <v>5</v>
      </c>
      <c r="B6" s="2">
        <f t="shared" si="0"/>
        <v>180</v>
      </c>
      <c r="C6" s="8">
        <f t="shared" si="1"/>
        <v>8643.6</v>
      </c>
      <c r="D6" s="8">
        <f t="shared" si="2"/>
        <v>2755.848</v>
      </c>
      <c r="E6" s="8">
        <f t="shared" si="3"/>
        <v>5887.752</v>
      </c>
    </row>
    <row r="7" spans="1:5">
      <c r="A7">
        <v>6</v>
      </c>
      <c r="B7" s="2">
        <f t="shared" si="0"/>
        <v>195</v>
      </c>
      <c r="C7" s="8">
        <f t="shared" si="1"/>
        <v>9363.9</v>
      </c>
      <c r="D7" s="8">
        <f t="shared" si="2"/>
        <v>2885.502</v>
      </c>
      <c r="E7" s="8">
        <f t="shared" si="3"/>
        <v>6478.398</v>
      </c>
    </row>
    <row r="8" spans="1:5">
      <c r="A8">
        <v>7</v>
      </c>
      <c r="B8" s="2">
        <f t="shared" si="0"/>
        <v>210</v>
      </c>
      <c r="C8" s="8">
        <f t="shared" si="1"/>
        <v>10084.2</v>
      </c>
      <c r="D8" s="8">
        <f t="shared" si="2"/>
        <v>3015.156</v>
      </c>
      <c r="E8" s="8">
        <f t="shared" si="3"/>
        <v>7069.044</v>
      </c>
    </row>
    <row r="9" spans="1:5">
      <c r="A9">
        <v>8</v>
      </c>
      <c r="B9" s="2">
        <f t="shared" si="0"/>
        <v>225</v>
      </c>
      <c r="C9" s="8">
        <f t="shared" si="1"/>
        <v>10804.5</v>
      </c>
      <c r="D9" s="8">
        <f t="shared" si="2"/>
        <v>3144.81</v>
      </c>
      <c r="E9" s="8">
        <f t="shared" si="3"/>
        <v>7659.69</v>
      </c>
    </row>
    <row r="10" spans="1:5">
      <c r="A10">
        <v>9</v>
      </c>
      <c r="B10" s="2">
        <f t="shared" si="0"/>
        <v>240</v>
      </c>
      <c r="C10" s="8">
        <f t="shared" si="1"/>
        <v>11524.8</v>
      </c>
      <c r="D10" s="8">
        <f t="shared" si="2"/>
        <v>3274.464</v>
      </c>
      <c r="E10" s="8">
        <f t="shared" si="3"/>
        <v>8250.336</v>
      </c>
    </row>
    <row r="11" spans="1:5">
      <c r="A11">
        <v>10</v>
      </c>
      <c r="B11" s="2">
        <f t="shared" si="0"/>
        <v>255</v>
      </c>
      <c r="C11" s="8">
        <f t="shared" si="1"/>
        <v>12245.1</v>
      </c>
      <c r="D11" s="8">
        <f t="shared" si="2"/>
        <v>3404.118</v>
      </c>
      <c r="E11" s="8">
        <f t="shared" si="3"/>
        <v>8840.982</v>
      </c>
    </row>
    <row r="12" spans="1:5">
      <c r="A12">
        <v>11</v>
      </c>
      <c r="B12" s="2">
        <f t="shared" si="0"/>
        <v>270</v>
      </c>
      <c r="C12" s="8">
        <f t="shared" si="1"/>
        <v>12965.4</v>
      </c>
      <c r="D12" s="8">
        <f t="shared" si="2"/>
        <v>3533.772</v>
      </c>
      <c r="E12" s="8">
        <f t="shared" si="3"/>
        <v>9431.628</v>
      </c>
    </row>
    <row r="13" spans="1:5">
      <c r="A13">
        <v>12</v>
      </c>
      <c r="B13" s="2">
        <f t="shared" si="0"/>
        <v>285</v>
      </c>
      <c r="C13" s="8">
        <f t="shared" si="1"/>
        <v>13685.7</v>
      </c>
      <c r="D13" s="8">
        <f t="shared" si="2"/>
        <v>3663.426</v>
      </c>
      <c r="E13" s="8">
        <f t="shared" si="3"/>
        <v>10022.274</v>
      </c>
    </row>
    <row r="14" spans="1:5">
      <c r="A14">
        <v>13</v>
      </c>
      <c r="B14" s="2">
        <f t="shared" si="0"/>
        <v>300</v>
      </c>
      <c r="C14" s="8">
        <f t="shared" si="1"/>
        <v>14406</v>
      </c>
      <c r="D14" s="8">
        <f t="shared" si="2"/>
        <v>3793.08</v>
      </c>
      <c r="E14" s="8">
        <f t="shared" si="3"/>
        <v>10612.92</v>
      </c>
    </row>
    <row r="15" spans="1:5">
      <c r="A15">
        <v>14</v>
      </c>
      <c r="B15" s="2">
        <f t="shared" si="0"/>
        <v>315</v>
      </c>
      <c r="C15" s="8">
        <f t="shared" si="1"/>
        <v>15126.3</v>
      </c>
      <c r="D15" s="8">
        <f t="shared" si="2"/>
        <v>3922.734</v>
      </c>
      <c r="E15" s="8">
        <f t="shared" si="3"/>
        <v>11203.566</v>
      </c>
    </row>
    <row r="16" spans="1:5">
      <c r="A16">
        <v>15</v>
      </c>
      <c r="B16" s="2">
        <f t="shared" si="0"/>
        <v>330</v>
      </c>
      <c r="C16" s="8">
        <f t="shared" si="1"/>
        <v>15846.6</v>
      </c>
      <c r="D16" s="8">
        <f t="shared" si="2"/>
        <v>4052.388</v>
      </c>
      <c r="E16" s="8">
        <f t="shared" si="3"/>
        <v>11794.212</v>
      </c>
    </row>
    <row r="17" spans="1:5">
      <c r="A17">
        <v>16</v>
      </c>
      <c r="B17" s="2">
        <f t="shared" si="0"/>
        <v>345</v>
      </c>
      <c r="C17" s="8">
        <f t="shared" si="1"/>
        <v>16566.9</v>
      </c>
      <c r="D17" s="8">
        <f t="shared" si="2"/>
        <v>4182.042</v>
      </c>
      <c r="E17" s="8">
        <f t="shared" si="3"/>
        <v>12384.858</v>
      </c>
    </row>
    <row r="18" spans="1:5">
      <c r="A18">
        <v>17</v>
      </c>
      <c r="B18" s="2">
        <f t="shared" si="0"/>
        <v>360</v>
      </c>
      <c r="C18" s="8">
        <f t="shared" si="1"/>
        <v>17287.2</v>
      </c>
      <c r="D18" s="8">
        <f t="shared" si="2"/>
        <v>4311.696</v>
      </c>
      <c r="E18" s="8">
        <f t="shared" si="3"/>
        <v>12975.504</v>
      </c>
    </row>
    <row r="19" spans="1:5">
      <c r="A19">
        <v>18</v>
      </c>
      <c r="B19" s="2">
        <f t="shared" si="0"/>
        <v>375</v>
      </c>
      <c r="C19" s="8">
        <f t="shared" si="1"/>
        <v>18007.5</v>
      </c>
      <c r="D19" s="8">
        <f t="shared" si="2"/>
        <v>4441.35</v>
      </c>
      <c r="E19" s="8">
        <f t="shared" si="3"/>
        <v>13566.15</v>
      </c>
    </row>
    <row r="20" spans="1:5">
      <c r="A20">
        <v>19</v>
      </c>
      <c r="B20" s="2">
        <f t="shared" si="0"/>
        <v>390</v>
      </c>
      <c r="C20" s="8">
        <f t="shared" si="1"/>
        <v>18727.8</v>
      </c>
      <c r="D20" s="8">
        <f t="shared" si="2"/>
        <v>4571.004</v>
      </c>
      <c r="E20" s="8">
        <f t="shared" si="3"/>
        <v>14156.796</v>
      </c>
    </row>
    <row r="21" spans="1:5">
      <c r="A21">
        <v>20</v>
      </c>
      <c r="B21" s="2">
        <f t="shared" si="0"/>
        <v>405</v>
      </c>
      <c r="C21" s="8">
        <f t="shared" si="1"/>
        <v>19448.1</v>
      </c>
      <c r="D21" s="8">
        <f t="shared" si="2"/>
        <v>4700.658</v>
      </c>
      <c r="E21" s="8">
        <f t="shared" si="3"/>
        <v>14747.442</v>
      </c>
    </row>
    <row r="22" spans="1:5">
      <c r="A22">
        <v>21</v>
      </c>
      <c r="B22" s="2">
        <f t="shared" si="0"/>
        <v>420</v>
      </c>
      <c r="C22" s="8">
        <f t="shared" si="1"/>
        <v>20168.4</v>
      </c>
      <c r="D22" s="8">
        <f t="shared" si="2"/>
        <v>4830.312</v>
      </c>
      <c r="E22" s="8">
        <f t="shared" si="3"/>
        <v>15338.088</v>
      </c>
    </row>
    <row r="23" spans="1:5">
      <c r="A23">
        <v>22</v>
      </c>
      <c r="B23" s="2">
        <f t="shared" si="0"/>
        <v>435</v>
      </c>
      <c r="C23" s="8">
        <f t="shared" si="1"/>
        <v>20888.7</v>
      </c>
      <c r="D23" s="8">
        <f t="shared" si="2"/>
        <v>4959.966</v>
      </c>
      <c r="E23" s="8">
        <f t="shared" si="3"/>
        <v>15928.734</v>
      </c>
    </row>
    <row r="24" spans="1:5">
      <c r="A24">
        <v>23</v>
      </c>
      <c r="B24" s="2">
        <f t="shared" si="0"/>
        <v>450</v>
      </c>
      <c r="C24" s="8">
        <f t="shared" si="1"/>
        <v>21609</v>
      </c>
      <c r="D24" s="8">
        <f t="shared" si="2"/>
        <v>5089.62</v>
      </c>
      <c r="E24" s="8">
        <f t="shared" si="3"/>
        <v>16519.38</v>
      </c>
    </row>
    <row r="25" spans="1:5">
      <c r="A25">
        <v>24</v>
      </c>
      <c r="B25" s="2">
        <f t="shared" si="0"/>
        <v>465</v>
      </c>
      <c r="C25" s="8">
        <f t="shared" si="1"/>
        <v>22329.3</v>
      </c>
      <c r="D25" s="8">
        <f t="shared" si="2"/>
        <v>5219.274</v>
      </c>
      <c r="E25" s="8">
        <f t="shared" si="3"/>
        <v>17110.026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2:3">
      <c r="B1" s="4" t="s">
        <v>14</v>
      </c>
      <c r="C1" s="4" t="s">
        <v>15</v>
      </c>
    </row>
    <row r="2" spans="1:3">
      <c r="A2" t="s">
        <v>16</v>
      </c>
      <c r="B2" s="5">
        <f>SUM(Revenue!C2:C13)</f>
        <v>116688.6</v>
      </c>
      <c r="C2" s="5">
        <f>SUM(Revenue!C14:C25)</f>
        <v>220411.8</v>
      </c>
    </row>
    <row r="3" spans="1:3">
      <c r="A3" t="s">
        <v>12</v>
      </c>
      <c r="B3" s="5">
        <f>SUM(Revenue!D2:D13)</f>
        <v>35403.948</v>
      </c>
      <c r="C3" s="5">
        <f>SUM(Revenue!D14:D25)</f>
        <v>54074.124</v>
      </c>
    </row>
    <row r="4" spans="1:3">
      <c r="A4" t="s">
        <v>13</v>
      </c>
      <c r="B4" s="5">
        <f>B2-B3</f>
        <v>81284.652</v>
      </c>
      <c r="C4" s="5">
        <f>C2-C3</f>
        <v>166337.676</v>
      </c>
    </row>
    <row r="5" spans="1:3">
      <c r="A5" t="s">
        <v>17</v>
      </c>
      <c r="B5" s="5">
        <f>Opex*12</f>
        <v>1020000</v>
      </c>
      <c r="C5" s="5">
        <f>Opex*12</f>
        <v>1020000</v>
      </c>
    </row>
    <row r="6" spans="1:3">
      <c r="A6" s="4" t="s">
        <v>18</v>
      </c>
      <c r="B6" s="5">
        <f>B4-B5</f>
        <v>-938715.348</v>
      </c>
      <c r="C6" s="5">
        <f>C4-C5</f>
        <v>-853662.324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" customWidth="1"/>
    <col min="2" max="2" width="16" customWidth="1"/>
  </cols>
  <sheetData>
    <row r="1" spans="1:1">
      <c r="A1" s="4" t="s">
        <v>19</v>
      </c>
    </row>
    <row r="2" spans="1:2">
      <c r="A2" t="s">
        <v>20</v>
      </c>
      <c r="B2" s="5">
        <f>'P&amp;L'!B2</f>
        <v>116688.6</v>
      </c>
    </row>
    <row r="3" spans="1:2">
      <c r="A3" t="s">
        <v>21</v>
      </c>
      <c r="B3" s="5">
        <f>'P&amp;L'!C2</f>
        <v>220411.8</v>
      </c>
    </row>
    <row r="4" spans="1:2">
      <c r="A4" t="s">
        <v>22</v>
      </c>
      <c r="B4" s="5">
        <f>'P&amp;L'!C6</f>
        <v>-853662.324</v>
      </c>
    </row>
    <row r="5" spans="1:2">
      <c r="A5" t="s">
        <v>23</v>
      </c>
      <c r="B5" s="2">
        <f>Revenue!B25</f>
        <v>465</v>
      </c>
    </row>
    <row r="6" spans="1:2">
      <c r="A6" t="s">
        <v>24</v>
      </c>
      <c r="B6" s="3">
        <f>TODAY()</f>
        <v>46023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