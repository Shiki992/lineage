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2300"/>
  </bookViews>
  <sheets>
    <sheet name="Assumptions" sheetId="1" r:id="rId1"/>
    <sheet name="Revenue" sheetId="2" r:id="rId2"/>
    <sheet name="P&amp;L" sheetId="3" r:id="rId3"/>
    <sheet name="Summary" sheetId="4" r:id="rId4"/>
  </sheets>
  <definedNames>
    <definedName name="Churn">Assumptions!$B$5</definedName>
    <definedName name="CogsShare">Assumptions!$B$6</definedName>
    <definedName name="NewSeats">Assumptions!$B$3</definedName>
    <definedName name="Opex">Assumptions!$B$7</definedName>
    <definedName name="Price">Assumptions!$B$4</definedName>
    <definedName name="StartSeats">Assumptions!$B$2</definedName>
  </definedNames>
  <calcPr calcId="191029"/>
</workbook>
</file>

<file path=xl/comments1.xml><?xml version="1.0" encoding="utf-8"?>
<comments xmlns="http://schemas.openxmlformats.org/spreadsheetml/2006/main">
  <authors>
    <author>Dana Whitfield</author>
  </authors>
  <commentList>
    <comment ref="B3" authorId="0">
      <text>
        <r>
          <t xml:space="preserve">Based on the Q3 pipeline.</t>
        </r>
      </text>
    </comment>
  </commentList>
</comments>
</file>

<file path=xl/sharedStrings.xml><?xml version="1.0" encoding="utf-8"?>
<sst xmlns="http://schemas.openxmlformats.org/spreadsheetml/2006/main" count="26" uniqueCount="24">
  <si>
    <t>Assumption</t>
  </si>
  <si>
    <t>Value</t>
  </si>
  <si>
    <t>Starting seats</t>
  </si>
  <si>
    <t>New seats per month</t>
  </si>
  <si>
    <t>Price per seat</t>
  </si>
  <si>
    <t>Monthly churn</t>
  </si>
  <si>
    <t>COGS share</t>
  </si>
  <si>
    <t>Monthly opex</t>
  </si>
  <si>
    <t>Month</t>
  </si>
  <si>
    <t>Seats</t>
  </si>
  <si>
    <t>MRR</t>
  </si>
  <si>
    <t>COGS</t>
  </si>
  <si>
    <t>Gross margin</t>
  </si>
  <si>
    <t>Year 1</t>
  </si>
  <si>
    <t>Year 2</t>
  </si>
  <si>
    <t>Revenue</t>
  </si>
  <si>
    <t>Operating expenses</t>
  </si>
  <si>
    <t>EBITDA</t>
  </si>
  <si>
    <t>Brightwell Analytics: summary</t>
  </si>
  <si>
    <t>Year 1 revenue</t>
  </si>
  <si>
    <t>Year 2 revenue</t>
  </si>
  <si>
    <t>Year 2 EBITDA</t>
  </si>
  <si>
    <t>Seats at month 24</t>
  </si>
  <si>
    <t>Prepared on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</si>
</sst>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&quot;$&quot;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9" fontId="0" fillId="0" borderId="0" xfId="0" applyNumberFormat="1"/>
    <xf numFmtId="3" fontId="0" fillId="0" borderId="0" xfId="0" applyNumberFormat="1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49" fontId="0" fillId="0" borderId="0" xfId="0" applyNumberFormat="1"/>
    <xf numFmtId="1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1">
    <dxf>
      <font>
        <b/>
      </font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8" customWidth="1"/>
    <col min="2" max="2" width="14" customWidth="1"/>
  </cols>
  <sheetData>
    <row r="1" spans="1:2">
      <c r="A1" s="4" t="s">
        <v>0</v>
      </c>
      <c r="B1" s="4" t="s">
        <v>1</v>
      </c>
    </row>
    <row r="2" spans="1:2">
      <c r="A2" t="s">
        <v>2</v>
      </c>
      <c r="B2">
        <v>120</v>
      </c>
    </row>
    <row r="3" spans="1:2">
      <c r="A3" t="s">
        <v>3</v>
      </c>
      <c r="B3">
        <v>12</v>
      </c>
    </row>
    <row r="4" spans="1:2">
      <c r="A4" t="s">
        <v>4</v>
      </c>
      <c r="B4" s="5">
        <v>49</v>
      </c>
    </row>
    <row r="5" spans="1:2">
      <c r="A5" t="s">
        <v>5</v>
      </c>
      <c r="B5" s="7">
        <v>0.02</v>
      </c>
    </row>
    <row r="6" spans="1:2">
      <c r="A6" t="s">
        <v>6</v>
      </c>
      <c r="B6" s="1">
        <v>0.18</v>
      </c>
    </row>
    <row r="7" spans="1:2">
      <c r="A7" t="s">
        <v>7</v>
      </c>
      <c r="B7" s="5">
        <v>85000</v>
      </c>
    </row>
  </sheetData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"/>
  <sheetViews>
    <sheetView workbookViewId="0">
      <pane ySplit="1" topLeftCell="A2" activePane="bottomLeft" state="frozen"/>
      <selection pane="bottomLeft" activeCell="A2" sqref="A2"/>
    </sheetView>
  </sheetViews>
  <sheetFormatPr defaultRowHeight="15"/>
  <sheetData>
    <row r="1" spans="1:5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</row>
    <row r="2" spans="1:5">
      <c r="A2">
        <v>1</v>
      </c>
      <c r="B2" s="2">
        <f>StartSeats</f>
        <v>120</v>
      </c>
      <c r="C2" s="8">
        <f t="shared" ref="C2:C25" si="1">B2*Price*(1-Churn)</f>
        <v>5762.4</v>
      </c>
      <c r="D2" s="8">
        <f t="shared" ref="D2:D25" si="2">C2*CogsShare</f>
        <v>1037.232</v>
      </c>
      <c r="E2" s="8">
        <f t="shared" ref="E2:E25" si="3">C2-D2</f>
        <v>4725.168</v>
      </c>
    </row>
    <row r="3" spans="1:5">
      <c r="A3">
        <v>2</v>
      </c>
      <c r="B3" s="2">
        <f t="shared" ref="B3:B25" si="0">B2+NewSeats</f>
        <v>132</v>
      </c>
      <c r="C3" s="8">
        <f t="shared" si="1"/>
        <v>6338.64</v>
      </c>
      <c r="D3" s="8">
        <f t="shared" si="2"/>
        <v>1140.9552</v>
      </c>
      <c r="E3" s="8">
        <f t="shared" si="3"/>
        <v>5197.6848</v>
      </c>
    </row>
    <row r="4" spans="1:5">
      <c r="A4">
        <v>3</v>
      </c>
      <c r="B4" s="2">
        <f t="shared" si="0"/>
        <v>144</v>
      </c>
      <c r="C4" s="8">
        <f t="shared" si="1"/>
        <v>6914.88</v>
      </c>
      <c r="D4" s="8">
        <f t="shared" si="2"/>
        <v>1244.6784</v>
      </c>
      <c r="E4" s="8">
        <f t="shared" si="3"/>
        <v>5670.2016</v>
      </c>
    </row>
    <row r="5" spans="1:5">
      <c r="A5">
        <v>4</v>
      </c>
      <c r="B5" s="2">
        <f t="shared" si="0"/>
        <v>156</v>
      </c>
      <c r="C5" s="8">
        <f t="shared" si="1"/>
        <v>7491.12</v>
      </c>
      <c r="D5" s="8">
        <f t="shared" si="2"/>
        <v>1348.4016</v>
      </c>
      <c r="E5" s="8">
        <f t="shared" si="3"/>
        <v>6142.7184</v>
      </c>
    </row>
    <row r="6" spans="1:5">
      <c r="A6">
        <v>5</v>
      </c>
      <c r="B6" s="2">
        <f t="shared" si="0"/>
        <v>168</v>
      </c>
      <c r="C6" s="8">
        <f t="shared" si="1"/>
        <v>8067.36</v>
      </c>
      <c r="D6" s="8">
        <f t="shared" si="2"/>
        <v>1452.1248</v>
      </c>
      <c r="E6" s="8">
        <f t="shared" si="3"/>
        <v>6615.2352</v>
      </c>
    </row>
    <row r="7" spans="1:5">
      <c r="A7">
        <v>6</v>
      </c>
      <c r="B7" s="2">
        <f t="shared" si="0"/>
        <v>180</v>
      </c>
      <c r="C7" s="8">
        <f t="shared" si="1"/>
        <v>8643.6</v>
      </c>
      <c r="D7" s="8">
        <f t="shared" si="2"/>
        <v>1555.848</v>
      </c>
      <c r="E7" s="8">
        <f t="shared" si="3"/>
        <v>7087.752</v>
      </c>
    </row>
    <row r="8" spans="1:5">
      <c r="A8">
        <v>7</v>
      </c>
      <c r="B8" s="2">
        <f t="shared" si="0"/>
        <v>192</v>
      </c>
      <c r="C8" s="8">
        <f t="shared" si="1"/>
        <v>9219.84</v>
      </c>
      <c r="D8" s="8">
        <f t="shared" si="2"/>
        <v>1659.5712</v>
      </c>
      <c r="E8" s="8">
        <f t="shared" si="3"/>
        <v>7560.2688</v>
      </c>
    </row>
    <row r="9" spans="1:5">
      <c r="A9">
        <v>8</v>
      </c>
      <c r="B9" s="2">
        <f t="shared" si="0"/>
        <v>204</v>
      </c>
      <c r="C9" s="8">
        <f t="shared" si="1"/>
        <v>9796.08</v>
      </c>
      <c r="D9" s="8">
        <f t="shared" si="2"/>
        <v>1763.2944</v>
      </c>
      <c r="E9" s="8">
        <f t="shared" si="3"/>
        <v>8032.7856</v>
      </c>
    </row>
    <row r="10" spans="1:5">
      <c r="A10">
        <v>9</v>
      </c>
      <c r="B10" s="2">
        <f t="shared" si="0"/>
        <v>216</v>
      </c>
      <c r="C10" s="8">
        <f t="shared" si="1"/>
        <v>10372.32</v>
      </c>
      <c r="D10" s="8">
        <f t="shared" si="2"/>
        <v>1867.0176</v>
      </c>
      <c r="E10" s="8">
        <f t="shared" si="3"/>
        <v>8505.3024</v>
      </c>
    </row>
    <row r="11" spans="1:5">
      <c r="A11">
        <v>10</v>
      </c>
      <c r="B11" s="2">
        <f t="shared" si="0"/>
        <v>228</v>
      </c>
      <c r="C11" s="8">
        <f t="shared" si="1"/>
        <v>10948.56</v>
      </c>
      <c r="D11" s="8">
        <f t="shared" si="2"/>
        <v>1970.7408</v>
      </c>
      <c r="E11" s="8">
        <f t="shared" si="3"/>
        <v>8977.8192</v>
      </c>
    </row>
    <row r="12" spans="1:5">
      <c r="A12">
        <v>11</v>
      </c>
      <c r="B12" s="2">
        <f t="shared" si="0"/>
        <v>240</v>
      </c>
      <c r="C12" s="8">
        <f t="shared" si="1"/>
        <v>11524.8</v>
      </c>
      <c r="D12" s="8">
        <f t="shared" si="2"/>
        <v>2074.464</v>
      </c>
      <c r="E12" s="8">
        <f t="shared" si="3"/>
        <v>9450.336</v>
      </c>
    </row>
    <row r="13" spans="1:5">
      <c r="A13">
        <v>12</v>
      </c>
      <c r="B13" s="2">
        <f t="shared" si="0"/>
        <v>252</v>
      </c>
      <c r="C13" s="8">
        <f t="shared" si="1"/>
        <v>12101.04</v>
      </c>
      <c r="D13" s="8">
        <f t="shared" si="2"/>
        <v>2178.1872</v>
      </c>
      <c r="E13" s="8">
        <f t="shared" si="3"/>
        <v>9922.8528</v>
      </c>
    </row>
    <row r="14" spans="1:5">
      <c r="A14">
        <v>13</v>
      </c>
      <c r="B14" s="2">
        <f t="shared" si="0"/>
        <v>264</v>
      </c>
      <c r="C14" s="8">
        <f t="shared" si="1"/>
        <v>12677.28</v>
      </c>
      <c r="D14" s="8">
        <f t="shared" si="2"/>
        <v>2281.9104</v>
      </c>
      <c r="E14" s="8">
        <f t="shared" si="3"/>
        <v>10395.3696</v>
      </c>
    </row>
    <row r="15" spans="1:5">
      <c r="A15">
        <v>14</v>
      </c>
      <c r="B15" s="2">
        <f t="shared" si="0"/>
        <v>276</v>
      </c>
      <c r="C15" s="8">
        <f t="shared" si="1"/>
        <v>13253.52</v>
      </c>
      <c r="D15" s="8">
        <f t="shared" si="2"/>
        <v>2385.6336</v>
      </c>
      <c r="E15" s="8">
        <f t="shared" si="3"/>
        <v>10867.8864</v>
      </c>
    </row>
    <row r="16" spans="1:5">
      <c r="A16">
        <v>15</v>
      </c>
      <c r="B16" s="2">
        <f t="shared" si="0"/>
        <v>288</v>
      </c>
      <c r="C16" s="8">
        <f t="shared" si="1"/>
        <v>13829.76</v>
      </c>
      <c r="D16" s="8">
        <f t="shared" si="2"/>
        <v>2489.3568</v>
      </c>
      <c r="E16" s="8">
        <f t="shared" si="3"/>
        <v>11340.4032</v>
      </c>
    </row>
    <row r="17" spans="1:5">
      <c r="A17">
        <v>16</v>
      </c>
      <c r="B17" s="2">
        <f t="shared" si="0"/>
        <v>300</v>
      </c>
      <c r="C17" s="8">
        <f t="shared" si="1"/>
        <v>14406</v>
      </c>
      <c r="D17" s="8">
        <f t="shared" si="2"/>
        <v>2593.08</v>
      </c>
      <c r="E17" s="8">
        <f t="shared" si="3"/>
        <v>11812.92</v>
      </c>
    </row>
    <row r="18" spans="1:5">
      <c r="A18">
        <v>17</v>
      </c>
      <c r="B18" s="2">
        <f t="shared" si="0"/>
        <v>312</v>
      </c>
      <c r="C18" s="8">
        <f t="shared" si="1"/>
        <v>14982.24</v>
      </c>
      <c r="D18" s="8">
        <f t="shared" si="2"/>
        <v>2696.8032</v>
      </c>
      <c r="E18" s="8">
        <f t="shared" si="3"/>
        <v>12285.4368</v>
      </c>
    </row>
    <row r="19" spans="1:5">
      <c r="A19">
        <v>18</v>
      </c>
      <c r="B19" s="2">
        <f t="shared" si="0"/>
        <v>324</v>
      </c>
      <c r="C19" s="8">
        <f t="shared" si="1"/>
        <v>15558.48</v>
      </c>
      <c r="D19" s="8">
        <f t="shared" si="2"/>
        <v>2800.5264</v>
      </c>
      <c r="E19" s="8">
        <f t="shared" si="3"/>
        <v>12757.9536</v>
      </c>
    </row>
    <row r="20" spans="1:5">
      <c r="A20">
        <v>19</v>
      </c>
      <c r="B20" s="2">
        <f t="shared" si="0"/>
        <v>336</v>
      </c>
      <c r="C20" s="8">
        <f t="shared" si="1"/>
        <v>16134.72</v>
      </c>
      <c r="D20" s="8">
        <f t="shared" si="2"/>
        <v>2904.2496</v>
      </c>
      <c r="E20" s="8">
        <f t="shared" si="3"/>
        <v>13230.4704</v>
      </c>
    </row>
    <row r="21" spans="1:5">
      <c r="A21">
        <v>20</v>
      </c>
      <c r="B21" s="2">
        <f t="shared" si="0"/>
        <v>348</v>
      </c>
      <c r="C21" s="8">
        <f t="shared" si="1"/>
        <v>16710.96</v>
      </c>
      <c r="D21" s="8">
        <f t="shared" si="2"/>
        <v>3007.9728</v>
      </c>
      <c r="E21" s="8">
        <f t="shared" si="3"/>
        <v>13702.9872</v>
      </c>
    </row>
    <row r="22" spans="1:5">
      <c r="A22">
        <v>21</v>
      </c>
      <c r="B22" s="2">
        <f t="shared" si="0"/>
        <v>360</v>
      </c>
      <c r="C22" s="8">
        <f t="shared" si="1"/>
        <v>17287.2</v>
      </c>
      <c r="D22" s="8">
        <f t="shared" si="2"/>
        <v>3111.696</v>
      </c>
      <c r="E22" s="8">
        <f t="shared" si="3"/>
        <v>14175.504</v>
      </c>
    </row>
    <row r="23" spans="1:5">
      <c r="A23">
        <v>22</v>
      </c>
      <c r="B23" s="2">
        <f t="shared" si="0"/>
        <v>372</v>
      </c>
      <c r="C23" s="8">
        <f t="shared" si="1"/>
        <v>17863.44</v>
      </c>
      <c r="D23" s="8">
        <f t="shared" si="2"/>
        <v>3215.4192</v>
      </c>
      <c r="E23" s="8">
        <f t="shared" si="3"/>
        <v>14648.0208</v>
      </c>
    </row>
    <row r="24" spans="1:5">
      <c r="A24">
        <v>23</v>
      </c>
      <c r="B24" s="2">
        <f t="shared" si="0"/>
        <v>384</v>
      </c>
      <c r="C24" s="8">
        <f t="shared" si="1"/>
        <v>18439.68</v>
      </c>
      <c r="D24" s="8">
        <f t="shared" si="2"/>
        <v>3319.1424</v>
      </c>
      <c r="E24" s="8">
        <f t="shared" si="3"/>
        <v>15120.5376</v>
      </c>
    </row>
    <row r="25" spans="1:5">
      <c r="A25">
        <v>24</v>
      </c>
      <c r="B25" s="2">
        <f t="shared" si="0"/>
        <v>396</v>
      </c>
      <c r="C25" s="8">
        <f t="shared" si="1"/>
        <v>19015.92</v>
      </c>
      <c r="D25" s="8">
        <f t="shared" si="2"/>
        <v>3422.8656</v>
      </c>
      <c r="E25" s="8">
        <f t="shared" si="3"/>
        <v>15593.0544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2:3">
      <c r="B1" s="4" t="s">
        <v>13</v>
      </c>
      <c r="C1" s="4" t="s">
        <v>14</v>
      </c>
    </row>
    <row r="2" spans="1:3">
      <c r="A2" t="s">
        <v>15</v>
      </c>
      <c r="B2" s="5">
        <f>SUM(Revenue!C2:C13)</f>
        <v>107180.64</v>
      </c>
      <c r="C2" s="5">
        <f>SUM(Revenue!C14:C25)</f>
        <v>190159.2</v>
      </c>
    </row>
    <row r="3" spans="1:3">
      <c r="A3" t="s">
        <v>11</v>
      </c>
      <c r="B3" s="5">
        <f>SUM(Revenue!D2:D13)</f>
        <v>19292.5152</v>
      </c>
      <c r="C3" s="5">
        <f>SUM(Revenue!D14:D25)</f>
        <v>34228.656</v>
      </c>
    </row>
    <row r="4" spans="1:3">
      <c r="A4" t="s">
        <v>12</v>
      </c>
      <c r="B4" s="5">
        <f>B2-B3</f>
        <v>87888.1248</v>
      </c>
      <c r="C4" s="5">
        <f>C2-C3</f>
        <v>155930.544</v>
      </c>
    </row>
    <row r="5" spans="1:3">
      <c r="A5" t="s">
        <v>16</v>
      </c>
      <c r="B5" s="5">
        <f>Opex*12</f>
        <v>1020000</v>
      </c>
      <c r="C5" s="5">
        <f>Opex*12</f>
        <v>1020000</v>
      </c>
    </row>
    <row r="6" spans="1:3">
      <c r="A6" s="4" t="s">
        <v>17</v>
      </c>
      <c r="B6" s="5">
        <f>B4-B5</f>
        <v>-932111.8752</v>
      </c>
      <c r="C6" s="5">
        <f>C4-C5</f>
        <v>-864069.456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24" customWidth="1"/>
    <col min="2" max="2" width="16" customWidth="1"/>
  </cols>
  <sheetData>
    <row r="1" spans="1:1">
      <c r="A1" s="4" t="s">
        <v>18</v>
      </c>
    </row>
    <row r="2" spans="1:2">
      <c r="A2" t="s">
        <v>19</v>
      </c>
      <c r="B2" s="5">
        <f>'P&amp;L'!B2</f>
        <v>107180.64</v>
      </c>
    </row>
    <row r="3" spans="1:2">
      <c r="A3" t="s">
        <v>20</v>
      </c>
      <c r="B3" s="5">
        <f>'P&amp;L'!C2</f>
        <v>190159.2</v>
      </c>
    </row>
    <row r="4" spans="1:2">
      <c r="A4" t="s">
        <v>21</v>
      </c>
      <c r="B4" s="5">
        <f>'P&amp;L'!C6</f>
        <v>-864069.456</v>
      </c>
    </row>
    <row r="5" spans="1:2">
      <c r="A5" t="s">
        <v>22</v>
      </c>
      <c r="B5" s="2">
        <f>Revenue!B25</f>
        <v>396</v>
      </c>
    </row>
    <row r="6" spans="1:2">
      <c r="A6" t="s">
        <v>23</v>
      </c>
      <c r="B6" s="3">
        <f>TODAY()</f>
        <v>46023</v>
      </c>
    </row>
  </sheetData>
  <mergeCells count="1">
    <mergeCell ref="A1:B1"/>
  </mergeCells>
  <conditionalFormatting sqref="B4">
    <cfRule type="expression" dxfId="0" priority="1">
      <formula>B4&lt;0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Lineage fixture generator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Brightwell Analytics model</dc:title>
  <dc:creator>Lineage fixture generator</dc:creator>
  <cp:lastModifiedBy>Lineage fixture generator</cp:lastModifiedBy>
  <dcterms:created xsi:type="dcterms:W3CDTF">2026-01-01T00:00:00Z</dcterms:created>
  <dcterms:modified xsi:type="dcterms:W3CDTF">2026-01-01T00:00:00Z</dcterms:modified>
</cp:coreProperties>
</file>