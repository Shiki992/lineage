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<sst xmlns="http://schemas.openxmlformats.org/spreadsheetml/2006/main" count="26" uniqueCount="24">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</sst>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55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6468</v>
      </c>
      <c r="D2" s="8">
        <f t="shared" ref="D2:D25" si="2">C2*CogsShare</f>
        <v>1164.24</v>
      </c>
      <c r="E2" s="8">
        <f t="shared" ref="E2:E25" si="3">C2-D2</f>
        <v>5303.76</v>
      </c>
    </row>
    <row r="3" spans="1:5">
      <c r="A3">
        <v>2</v>
      </c>
      <c r="B3" s="2">
        <f t="shared" ref="B3:B25" si="0">B2+NewSeats</f>
        <v>135</v>
      </c>
      <c r="C3" s="8">
        <f t="shared" si="1"/>
        <v>7276.5</v>
      </c>
      <c r="D3" s="8">
        <f t="shared" si="2"/>
        <v>1309.77</v>
      </c>
      <c r="E3" s="8">
        <f t="shared" si="3"/>
        <v>5966.73</v>
      </c>
    </row>
    <row r="4" spans="1:5">
      <c r="A4">
        <v>3</v>
      </c>
      <c r="B4" s="2">
        <f t="shared" si="0"/>
        <v>150</v>
      </c>
      <c r="C4" s="8">
        <f t="shared" si="1"/>
        <v>8085</v>
      </c>
      <c r="D4" s="8">
        <f t="shared" si="2"/>
        <v>1455.3</v>
      </c>
      <c r="E4" s="8">
        <f t="shared" si="3"/>
        <v>6629.7</v>
      </c>
    </row>
    <row r="5" spans="1:5">
      <c r="A5">
        <v>4</v>
      </c>
      <c r="B5" s="2">
        <f t="shared" si="0"/>
        <v>165</v>
      </c>
      <c r="C5" s="8">
        <f t="shared" si="1"/>
        <v>8893.5</v>
      </c>
      <c r="D5" s="8">
        <f t="shared" si="2"/>
        <v>1600.83</v>
      </c>
      <c r="E5" s="8">
        <f t="shared" si="3"/>
        <v>7292.67</v>
      </c>
    </row>
    <row r="6" spans="1:5">
      <c r="A6">
        <v>5</v>
      </c>
      <c r="B6" s="2">
        <f t="shared" si="0"/>
        <v>180</v>
      </c>
      <c r="C6" s="8">
        <f t="shared" si="1"/>
        <v>9702</v>
      </c>
      <c r="D6" s="8">
        <f t="shared" si="2"/>
        <v>1746.36</v>
      </c>
      <c r="E6" s="8">
        <f t="shared" si="3"/>
        <v>7955.64</v>
      </c>
    </row>
    <row r="7" spans="1:5">
      <c r="A7">
        <v>6</v>
      </c>
      <c r="B7" s="2">
        <f t="shared" si="0"/>
        <v>195</v>
      </c>
      <c r="C7" s="8">
        <f t="shared" si="1"/>
        <v>10510.5</v>
      </c>
      <c r="D7" s="8">
        <f t="shared" si="2"/>
        <v>1891.89</v>
      </c>
      <c r="E7" s="8">
        <f t="shared" si="3"/>
        <v>8618.61</v>
      </c>
    </row>
    <row r="8" spans="1:5">
      <c r="A8">
        <v>7</v>
      </c>
      <c r="B8" s="2">
        <f t="shared" si="0"/>
        <v>210</v>
      </c>
      <c r="C8" s="8">
        <f t="shared" si="1"/>
        <v>11319</v>
      </c>
      <c r="D8" s="8">
        <f t="shared" si="2"/>
        <v>2037.42</v>
      </c>
      <c r="E8" s="8">
        <f t="shared" si="3"/>
        <v>9281.58</v>
      </c>
    </row>
    <row r="9" spans="1:5">
      <c r="A9">
        <v>8</v>
      </c>
      <c r="B9" s="2">
        <f t="shared" si="0"/>
        <v>225</v>
      </c>
      <c r="C9" s="8">
        <f t="shared" si="1"/>
        <v>12127.5</v>
      </c>
      <c r="D9" s="8">
        <f t="shared" si="2"/>
        <v>2182.95</v>
      </c>
      <c r="E9" s="8">
        <f t="shared" si="3"/>
        <v>9944.55</v>
      </c>
    </row>
    <row r="10" spans="1:5">
      <c r="A10">
        <v>9</v>
      </c>
      <c r="B10" s="2">
        <f t="shared" si="0"/>
        <v>240</v>
      </c>
      <c r="C10" s="8">
        <f t="shared" si="1"/>
        <v>12936</v>
      </c>
      <c r="D10" s="8">
        <f t="shared" si="2"/>
        <v>2328.48</v>
      </c>
      <c r="E10" s="8">
        <f t="shared" si="3"/>
        <v>10607.52</v>
      </c>
    </row>
    <row r="11" spans="1:5">
      <c r="A11">
        <v>10</v>
      </c>
      <c r="B11" s="2">
        <f t="shared" si="0"/>
        <v>255</v>
      </c>
      <c r="C11" s="8">
        <f t="shared" si="1"/>
        <v>13744.5</v>
      </c>
      <c r="D11" s="8">
        <f t="shared" si="2"/>
        <v>2474.01</v>
      </c>
      <c r="E11" s="8">
        <f t="shared" si="3"/>
        <v>11270.49</v>
      </c>
    </row>
    <row r="12" spans="1:5">
      <c r="A12">
        <v>11</v>
      </c>
      <c r="B12" s="2">
        <f t="shared" si="0"/>
        <v>270</v>
      </c>
      <c r="C12" s="8">
        <f t="shared" si="1"/>
        <v>14553</v>
      </c>
      <c r="D12" s="8">
        <f t="shared" si="2"/>
        <v>2619.54</v>
      </c>
      <c r="E12" s="8">
        <f t="shared" si="3"/>
        <v>11933.46</v>
      </c>
    </row>
    <row r="13" spans="1:5">
      <c r="A13">
        <v>12</v>
      </c>
      <c r="B13" s="2">
        <f t="shared" si="0"/>
        <v>285</v>
      </c>
      <c r="C13" s="8">
        <f t="shared" si="1"/>
        <v>15361.5</v>
      </c>
      <c r="D13" s="8">
        <f t="shared" si="2"/>
        <v>2765.07</v>
      </c>
      <c r="E13" s="8">
        <f t="shared" si="3"/>
        <v>12596.43</v>
      </c>
    </row>
    <row r="14" spans="1:5">
      <c r="A14">
        <v>13</v>
      </c>
      <c r="B14" s="2">
        <f t="shared" si="0"/>
        <v>300</v>
      </c>
      <c r="C14" s="8">
        <f t="shared" si="1"/>
        <v>16170</v>
      </c>
      <c r="D14" s="8">
        <f t="shared" si="2"/>
        <v>2910.6</v>
      </c>
      <c r="E14" s="8">
        <f t="shared" si="3"/>
        <v>13259.4</v>
      </c>
    </row>
    <row r="15" spans="1:5">
      <c r="A15">
        <v>14</v>
      </c>
      <c r="B15" s="2">
        <f t="shared" si="0"/>
        <v>315</v>
      </c>
      <c r="C15" s="8">
        <f t="shared" si="1"/>
        <v>16978.5</v>
      </c>
      <c r="D15" s="8">
        <f t="shared" si="2"/>
        <v>3056.13</v>
      </c>
      <c r="E15" s="8">
        <f t="shared" si="3"/>
        <v>13922.37</v>
      </c>
    </row>
    <row r="16" spans="1:5">
      <c r="A16">
        <v>15</v>
      </c>
      <c r="B16" s="2">
        <f t="shared" si="0"/>
        <v>330</v>
      </c>
      <c r="C16" s="8">
        <f t="shared" si="1"/>
        <v>17787</v>
      </c>
      <c r="D16" s="8">
        <f t="shared" si="2"/>
        <v>3201.66</v>
      </c>
      <c r="E16" s="8">
        <f t="shared" si="3"/>
        <v>14585.34</v>
      </c>
    </row>
    <row r="17" spans="1:5">
      <c r="A17">
        <v>16</v>
      </c>
      <c r="B17" s="2">
        <f t="shared" si="0"/>
        <v>345</v>
      </c>
      <c r="C17" s="8">
        <f t="shared" si="1"/>
        <v>18595.5</v>
      </c>
      <c r="D17" s="8">
        <f t="shared" si="2"/>
        <v>3347.19</v>
      </c>
      <c r="E17" s="8">
        <f t="shared" si="3"/>
        <v>15248.31</v>
      </c>
    </row>
    <row r="18" spans="1:5">
      <c r="A18">
        <v>17</v>
      </c>
      <c r="B18" s="2">
        <f t="shared" si="0"/>
        <v>360</v>
      </c>
      <c r="C18" s="8">
        <f t="shared" si="1"/>
        <v>19404</v>
      </c>
      <c r="D18" s="8">
        <f t="shared" si="2"/>
        <v>3492.72</v>
      </c>
      <c r="E18" s="8">
        <f t="shared" si="3"/>
        <v>15911.28</v>
      </c>
    </row>
    <row r="19" spans="1:5">
      <c r="A19">
        <v>18</v>
      </c>
      <c r="B19" s="2">
        <f t="shared" si="0"/>
        <v>375</v>
      </c>
      <c r="C19" s="8">
        <f t="shared" si="1"/>
        <v>20212.5</v>
      </c>
      <c r="D19" s="8">
        <f t="shared" si="2"/>
        <v>3638.25</v>
      </c>
      <c r="E19" s="8">
        <f t="shared" si="3"/>
        <v>16574.25</v>
      </c>
    </row>
    <row r="20" spans="1:5">
      <c r="A20">
        <v>19</v>
      </c>
      <c r="B20" s="2">
        <f t="shared" si="0"/>
        <v>390</v>
      </c>
      <c r="C20" s="8">
        <f t="shared" si="1"/>
        <v>21021</v>
      </c>
      <c r="D20" s="8">
        <f t="shared" si="2"/>
        <v>3783.78</v>
      </c>
      <c r="E20" s="8">
        <f t="shared" si="3"/>
        <v>17237.22</v>
      </c>
    </row>
    <row r="21" spans="1:5">
      <c r="A21">
        <v>20</v>
      </c>
      <c r="B21" s="2">
        <f t="shared" si="0"/>
        <v>405</v>
      </c>
      <c r="C21" s="8">
        <f t="shared" si="1"/>
        <v>21829.5</v>
      </c>
      <c r="D21" s="8">
        <f t="shared" si="2"/>
        <v>3929.31</v>
      </c>
      <c r="E21" s="8">
        <f t="shared" si="3"/>
        <v>17900.19</v>
      </c>
    </row>
    <row r="22" spans="1:5">
      <c r="A22">
        <v>21</v>
      </c>
      <c r="B22" s="2">
        <f t="shared" si="0"/>
        <v>420</v>
      </c>
      <c r="C22" s="8">
        <f t="shared" si="1"/>
        <v>22638</v>
      </c>
      <c r="D22" s="8">
        <f t="shared" si="2"/>
        <v>4074.84</v>
      </c>
      <c r="E22" s="8">
        <f t="shared" si="3"/>
        <v>18563.16</v>
      </c>
    </row>
    <row r="23" spans="1:5">
      <c r="A23">
        <v>22</v>
      </c>
      <c r="B23" s="2">
        <f t="shared" si="0"/>
        <v>435</v>
      </c>
      <c r="C23" s="8">
        <f t="shared" si="1"/>
        <v>23446.5</v>
      </c>
      <c r="D23" s="8">
        <f t="shared" si="2"/>
        <v>4220.37</v>
      </c>
      <c r="E23" s="8">
        <f t="shared" si="3"/>
        <v>19226.13</v>
      </c>
    </row>
    <row r="24" spans="1:5">
      <c r="A24">
        <v>23</v>
      </c>
      <c r="B24" s="2">
        <f t="shared" si="0"/>
        <v>450</v>
      </c>
      <c r="C24" s="8">
        <f t="shared" si="1"/>
        <v>24255</v>
      </c>
      <c r="D24" s="8">
        <f t="shared" si="2"/>
        <v>4365.9</v>
      </c>
      <c r="E24" s="8">
        <f t="shared" si="3"/>
        <v>19889.1</v>
      </c>
    </row>
    <row r="25" spans="1:5">
      <c r="A25">
        <v>24</v>
      </c>
      <c r="B25" s="2">
        <f t="shared" si="0"/>
        <v>465</v>
      </c>
      <c r="C25" s="8">
        <f t="shared" si="1"/>
        <v>25063.5</v>
      </c>
      <c r="D25" s="8">
        <f t="shared" si="2"/>
        <v>4511.43</v>
      </c>
      <c r="E25" s="8">
        <f t="shared" si="3"/>
        <v>20552.07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130977</v>
      </c>
      <c r="C2" s="5">
        <f>SUM(Revenue!C14:C25)</f>
        <v>247401</v>
      </c>
    </row>
    <row r="3" spans="1:3">
      <c r="A3" t="s">
        <v>11</v>
      </c>
      <c r="B3" s="5">
        <f>SUM(Revenue!D2:D13)</f>
        <v>23575.86</v>
      </c>
      <c r="C3" s="5">
        <f>SUM(Revenue!D14:D25)</f>
        <v>44532.18</v>
      </c>
    </row>
    <row r="4" spans="1:3">
      <c r="A4" t="s">
        <v>12</v>
      </c>
      <c r="B4" s="5">
        <f>B2-B3</f>
        <v>107401.14</v>
      </c>
      <c r="C4" s="5">
        <f>C2-C3</f>
        <v>202868.82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-912598.86</v>
      </c>
      <c r="C6" s="5">
        <f>C4-C5</f>
        <v>-817131.18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130977</v>
      </c>
    </row>
    <row r="3" spans="1:2">
      <c r="A3" t="s">
        <v>20</v>
      </c>
      <c r="B3" s="5">
        <f>'P&amp;L'!C2</f>
        <v>247401</v>
      </c>
    </row>
    <row r="4" spans="1:2">
      <c r="A4" t="s">
        <v>21</v>
      </c>
      <c r="B4" s="5">
        <f>'P&amp;L'!C6</f>
        <v>-817131.18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