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Transactions" sheetId="1" r:id="rId1"/>
    <sheet name="Summary" sheetId="2" r:id="rId2"/>
  </sheets>
  <calcPr calcId="191029"/>
</workbook>
</file>

<file path=xl/sharedStrings.xml><?xml version="1.0" encoding="utf-8"?>
<sst xmlns="http://schemas.openxmlformats.org/spreadsheetml/2006/main" count="51" uniqueCount="23">
  <si>
    <t>Date</t>
  </si>
  <si>
    <t>Category</t>
  </si>
  <si>
    <t>Description</t>
  </si>
  <si>
    <t>Amount</t>
  </si>
  <si>
    <t>Rent</t>
  </si>
  <si>
    <t>January rent</t>
  </si>
  <si>
    <t>Groceries</t>
  </si>
  <si>
    <t>Fernhill Market</t>
  </si>
  <si>
    <t>Transport</t>
  </si>
  <si>
    <t>Monthly rail pass</t>
  </si>
  <si>
    <t>Utilities</t>
  </si>
  <si>
    <t>Electricity</t>
  </si>
  <si>
    <t>Eating out</t>
  </si>
  <si>
    <t>Lunch with Priya</t>
  </si>
  <si>
    <t>Savings</t>
  </si>
  <si>
    <t>Rainy-day fund</t>
  </si>
  <si>
    <t>Corner shop</t>
  </si>
  <si>
    <t>Water</t>
  </si>
  <si>
    <t>Birthday dinner</t>
  </si>
  <si>
    <t>February rent</t>
  </si>
  <si>
    <t>March rent</t>
  </si>
  <si>
    <t>Spent</t>
  </si>
  <si>
    <t>Total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</si>
</sst>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ransactions" displayName="Transactions" ref="A1:D20" totalsRowShown="0">
  <autoFilter ref="A1:D20"/>
  <tableColumns count="4">
    <tableColumn id="1" name="Date"/>
    <tableColumn id="2" name="Category"/>
    <tableColumn id="3" name="Description"/>
    <tableColumn id="4" name="Amount"/>
  </tableColumns>
  <tableStyleInfo name="TableStyleMedium2" showFirstColumn="0" showLastColumn="0" showRowStripes="1" showColumnStripes="0"/>
</tabl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3" max="3" width="22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>
        <v>46023</v>
      </c>
      <c r="B2" t="s">
        <v>4</v>
      </c>
      <c r="C2" t="s">
        <v>5</v>
      </c>
      <c r="D2" s="8">
        <v>1450</v>
      </c>
    </row>
    <row r="3" spans="1:4">
      <c r="A3" s="3">
        <v>46025</v>
      </c>
      <c r="B3" t="s">
        <v>6</v>
      </c>
      <c r="C3" t="s">
        <v>7</v>
      </c>
      <c r="D3" s="8">
        <v>62.35</v>
      </c>
    </row>
    <row r="4" spans="1:4">
      <c r="A4" s="3">
        <v>46027</v>
      </c>
      <c r="B4" t="s">
        <v>8</v>
      </c>
      <c r="C4" t="s">
        <v>9</v>
      </c>
      <c r="D4" s="8">
        <v>118</v>
      </c>
    </row>
    <row r="5" spans="1:4">
      <c r="A5" s="3">
        <v>46030</v>
      </c>
      <c r="B5" t="s">
        <v>10</v>
      </c>
      <c r="C5" t="s">
        <v>11</v>
      </c>
      <c r="D5" s="8">
        <v>74.2</v>
      </c>
    </row>
    <row r="6" spans="1:4">
      <c r="A6" s="3">
        <v>46031</v>
      </c>
      <c r="B6" t="s">
        <v>12</v>
      </c>
      <c r="C6" t="s">
        <v>13</v>
      </c>
      <c r="D6" s="8">
        <v>23.5</v>
      </c>
    </row>
    <row r="7" spans="1:4">
      <c r="A7" s="3">
        <v>46034</v>
      </c>
      <c r="B7" t="s">
        <v>6</v>
      </c>
      <c r="C7" t="s">
        <v>7</v>
      </c>
      <c r="D7" s="8">
        <v>48.9</v>
      </c>
    </row>
    <row r="8" spans="1:4">
      <c r="A8" s="3">
        <v>46038</v>
      </c>
      <c r="B8" t="s">
        <v>14</v>
      </c>
      <c r="C8" t="s">
        <v>15</v>
      </c>
      <c r="D8" s="8">
        <v>300</v>
      </c>
    </row>
    <row r="9" spans="1:4">
      <c r="A9" s="3">
        <v>46041</v>
      </c>
      <c r="B9" t="s">
        <v>6</v>
      </c>
      <c r="C9" t="s">
        <v>16</v>
      </c>
      <c r="D9" s="8">
        <v>12.75</v>
      </c>
    </row>
    <row r="10" spans="1:4">
      <c r="A10" s="3">
        <v>46045</v>
      </c>
      <c r="B10" t="s">
        <v>10</v>
      </c>
      <c r="C10" t="s">
        <v>17</v>
      </c>
      <c r="D10" s="8">
        <v>31.6</v>
      </c>
    </row>
    <row r="11" spans="1:4">
      <c r="A11" s="3">
        <v>46050</v>
      </c>
      <c r="B11" t="s">
        <v>12</v>
      </c>
      <c r="C11" t="s">
        <v>18</v>
      </c>
      <c r="D11" s="8">
        <v>86</v>
      </c>
    </row>
    <row r="12" spans="1:4">
      <c r="A12" s="3">
        <v>46054</v>
      </c>
      <c r="B12" t="s">
        <v>4</v>
      </c>
      <c r="C12" t="s">
        <v>19</v>
      </c>
      <c r="D12" s="8">
        <v>1450</v>
      </c>
    </row>
    <row r="13" spans="1:4">
      <c r="A13" s="3">
        <v>46056</v>
      </c>
      <c r="B13" t="s">
        <v>6</v>
      </c>
      <c r="C13" t="s">
        <v>7</v>
      </c>
      <c r="D13" s="8">
        <v>71.1</v>
      </c>
    </row>
    <row r="14" spans="1:4">
      <c r="A14" s="3">
        <v>46058</v>
      </c>
      <c r="B14" t="s">
        <v>8</v>
      </c>
      <c r="C14" t="s">
        <v>9</v>
      </c>
      <c r="D14" s="8">
        <v>118</v>
      </c>
    </row>
    <row r="15" spans="1:4">
      <c r="A15" s="3">
        <v>46062</v>
      </c>
      <c r="B15" t="s">
        <v>10</v>
      </c>
      <c r="C15" t="s">
        <v>11</v>
      </c>
      <c r="D15" s="8">
        <v>69.85</v>
      </c>
    </row>
    <row r="16" spans="1:4">
      <c r="A16" s="3">
        <v>46066</v>
      </c>
      <c r="B16" t="s">
        <v>14</v>
      </c>
      <c r="C16" t="s">
        <v>15</v>
      </c>
      <c r="D16" s="8">
        <v>300</v>
      </c>
    </row>
    <row r="17" spans="1:4">
      <c r="A17" s="3">
        <v>46070</v>
      </c>
      <c r="B17" t="s">
        <v>6</v>
      </c>
      <c r="C17" t="s">
        <v>7</v>
      </c>
      <c r="D17" s="8">
        <v>55.4</v>
      </c>
    </row>
    <row r="18" spans="1:4">
      <c r="A18" s="3">
        <v>46082</v>
      </c>
      <c r="B18" t="s">
        <v>4</v>
      </c>
      <c r="C18" t="s">
        <v>20</v>
      </c>
      <c r="D18" s="8">
        <v>1450</v>
      </c>
    </row>
    <row r="19" spans="1:4">
      <c r="A19" s="3">
        <v>46084</v>
      </c>
      <c r="B19" t="s">
        <v>6</v>
      </c>
      <c r="C19" t="s">
        <v>7</v>
      </c>
      <c r="D19" s="8">
        <v>66.2</v>
      </c>
    </row>
    <row r="20" spans="1:4">
      <c r="A20" s="3">
        <v>46086</v>
      </c>
      <c r="B20" t="s">
        <v>8</v>
      </c>
      <c r="C20" t="s">
        <v>9</v>
      </c>
      <c r="D20" s="8">
        <v>118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4" t="s">
        <v>1</v>
      </c>
      <c r="B1" s="4" t="s">
        <v>21</v>
      </c>
    </row>
    <row r="2" spans="1:2">
      <c r="A2" t="s">
        <v>4</v>
      </c>
      <c r="B2" s="8">
        <f>SUMIFS(Transactions[Amount],Transactions[Category],A2)</f>
        <v>4350</v>
      </c>
    </row>
    <row r="3" spans="1:2">
      <c r="A3" t="s">
        <v>6</v>
      </c>
      <c r="B3" s="8">
        <f>SUMIFS(Transactions[Amount],Transactions[Category],A3)</f>
        <v>316.7</v>
      </c>
    </row>
    <row r="4" spans="1:2">
      <c r="A4" t="s">
        <v>8</v>
      </c>
      <c r="B4" s="8">
        <f>SUMIFS(Transactions[Amount],Transactions[Category],A4)</f>
        <v>354</v>
      </c>
    </row>
    <row r="5" spans="1:2">
      <c r="A5" t="s">
        <v>10</v>
      </c>
      <c r="B5" s="8">
        <f>SUMIFS(Transactions[Amount],Transactions[Category],A5)</f>
        <v>175.65</v>
      </c>
    </row>
    <row r="6" spans="1:2">
      <c r="A6" t="s">
        <v>12</v>
      </c>
      <c r="B6" s="8">
        <f>SUMIFS(Transactions[Amount],Transactions[Category],A6)</f>
        <v>109.5</v>
      </c>
    </row>
    <row r="7" spans="1:2">
      <c r="A7" t="s">
        <v>14</v>
      </c>
      <c r="B7" s="8">
        <f>SUMIFS(Transactions[Amount],Transactions[Category],A7)</f>
        <v>600</v>
      </c>
    </row>
    <row r="8" spans="1:2">
      <c r="A8" s="4" t="s">
        <v>22</v>
      </c>
      <c r="B8" s="8">
        <f>SUM(B2:B7)</f>
        <v>5905.85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Household budget 2026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