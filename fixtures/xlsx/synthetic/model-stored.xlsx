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<sst xmlns="http://schemas.openxmlformats.org/spreadsheetml/2006/main" count="26" uniqueCount="24">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</sst>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</f>
        <v>1037.232</v>
      </c>
      <c r="E2" s="8">
        <f t="shared" ref="E2:E25" si="3">C2-D2</f>
        <v>4725.168</v>
      </c>
    </row>
    <row r="3" spans="1:5">
      <c r="A3">
        <v>2</v>
      </c>
      <c r="B3" s="2">
        <f t="shared" ref="B3:B25" si="0">B2+NewSeats</f>
        <v>135</v>
      </c>
      <c r="C3" s="8">
        <f t="shared" si="1"/>
        <v>6482.7</v>
      </c>
      <c r="D3" s="8">
        <f t="shared" si="2"/>
        <v>1166.886</v>
      </c>
      <c r="E3" s="8">
        <f t="shared" si="3"/>
        <v>5315.814</v>
      </c>
    </row>
    <row r="4" spans="1:5">
      <c r="A4">
        <v>3</v>
      </c>
      <c r="B4" s="2">
        <f t="shared" si="0"/>
        <v>150</v>
      </c>
      <c r="C4" s="8">
        <f t="shared" si="1"/>
        <v>7203</v>
      </c>
      <c r="D4" s="8">
        <f t="shared" si="2"/>
        <v>1296.54</v>
      </c>
      <c r="E4" s="8">
        <f t="shared" si="3"/>
        <v>5906.46</v>
      </c>
    </row>
    <row r="5" spans="1:5">
      <c r="A5">
        <v>4</v>
      </c>
      <c r="B5" s="2">
        <f t="shared" si="0"/>
        <v>165</v>
      </c>
      <c r="C5" s="8">
        <f t="shared" si="1"/>
        <v>7923.3</v>
      </c>
      <c r="D5" s="8">
        <f t="shared" si="2"/>
        <v>1426.194</v>
      </c>
      <c r="E5" s="8">
        <f t="shared" si="3"/>
        <v>6497.106</v>
      </c>
    </row>
    <row r="6" spans="1:5">
      <c r="A6">
        <v>5</v>
      </c>
      <c r="B6" s="2">
        <f t="shared" si="0"/>
        <v>180</v>
      </c>
      <c r="C6" s="8">
        <f t="shared" si="1"/>
        <v>8643.6</v>
      </c>
      <c r="D6" s="8">
        <f t="shared" si="2"/>
        <v>1555.848</v>
      </c>
      <c r="E6" s="8">
        <f t="shared" si="3"/>
        <v>7087.752</v>
      </c>
    </row>
    <row r="7" spans="1:5">
      <c r="A7">
        <v>6</v>
      </c>
      <c r="B7" s="2">
        <f t="shared" si="0"/>
        <v>195</v>
      </c>
      <c r="C7" s="8">
        <f t="shared" si="1"/>
        <v>9363.9</v>
      </c>
      <c r="D7" s="8">
        <f t="shared" si="2"/>
        <v>1685.502</v>
      </c>
      <c r="E7" s="8">
        <f t="shared" si="3"/>
        <v>7678.398</v>
      </c>
    </row>
    <row r="8" spans="1:5">
      <c r="A8">
        <v>7</v>
      </c>
      <c r="B8" s="2">
        <f t="shared" si="0"/>
        <v>210</v>
      </c>
      <c r="C8" s="8">
        <f t="shared" si="1"/>
        <v>10084.2</v>
      </c>
      <c r="D8" s="8">
        <f t="shared" si="2"/>
        <v>1815.156</v>
      </c>
      <c r="E8" s="8">
        <f t="shared" si="3"/>
        <v>8269.044</v>
      </c>
    </row>
    <row r="9" spans="1:5">
      <c r="A9">
        <v>8</v>
      </c>
      <c r="B9" s="2">
        <f t="shared" si="0"/>
        <v>225</v>
      </c>
      <c r="C9" s="8">
        <f t="shared" si="1"/>
        <v>10804.5</v>
      </c>
      <c r="D9" s="8">
        <f t="shared" si="2"/>
        <v>1944.81</v>
      </c>
      <c r="E9" s="8">
        <f t="shared" si="3"/>
        <v>8859.69</v>
      </c>
    </row>
    <row r="10" spans="1:5">
      <c r="A10">
        <v>9</v>
      </c>
      <c r="B10" s="2">
        <f t="shared" si="0"/>
        <v>240</v>
      </c>
      <c r="C10" s="8">
        <f t="shared" si="1"/>
        <v>11524.8</v>
      </c>
      <c r="D10" s="8">
        <f t="shared" si="2"/>
        <v>2074.464</v>
      </c>
      <c r="E10" s="8">
        <f t="shared" si="3"/>
        <v>9450.336</v>
      </c>
    </row>
    <row r="11" spans="1:5">
      <c r="A11">
        <v>10</v>
      </c>
      <c r="B11" s="2">
        <f t="shared" si="0"/>
        <v>255</v>
      </c>
      <c r="C11" s="8">
        <f t="shared" si="1"/>
        <v>12245.1</v>
      </c>
      <c r="D11" s="8">
        <f t="shared" si="2"/>
        <v>2204.118</v>
      </c>
      <c r="E11" s="8">
        <f t="shared" si="3"/>
        <v>10040.982</v>
      </c>
    </row>
    <row r="12" spans="1:5">
      <c r="A12">
        <v>11</v>
      </c>
      <c r="B12" s="2">
        <f t="shared" si="0"/>
        <v>270</v>
      </c>
      <c r="C12" s="8">
        <f t="shared" si="1"/>
        <v>12965.4</v>
      </c>
      <c r="D12" s="8">
        <f t="shared" si="2"/>
        <v>2333.772</v>
      </c>
      <c r="E12" s="8">
        <f t="shared" si="3"/>
        <v>10631.628</v>
      </c>
    </row>
    <row r="13" spans="1:5">
      <c r="A13">
        <v>12</v>
      </c>
      <c r="B13" s="2">
        <f t="shared" si="0"/>
        <v>285</v>
      </c>
      <c r="C13" s="8">
        <f t="shared" si="1"/>
        <v>13685.7</v>
      </c>
      <c r="D13" s="8">
        <f t="shared" si="2"/>
        <v>2463.426</v>
      </c>
      <c r="E13" s="8">
        <f t="shared" si="3"/>
        <v>11222.274</v>
      </c>
    </row>
    <row r="14" spans="1:5">
      <c r="A14">
        <v>13</v>
      </c>
      <c r="B14" s="2">
        <f t="shared" si="0"/>
        <v>300</v>
      </c>
      <c r="C14" s="8">
        <f t="shared" si="1"/>
        <v>14406</v>
      </c>
      <c r="D14" s="8">
        <f t="shared" si="2"/>
        <v>2593.08</v>
      </c>
      <c r="E14" s="8">
        <f t="shared" si="3"/>
        <v>11812.92</v>
      </c>
    </row>
    <row r="15" spans="1:5">
      <c r="A15">
        <v>14</v>
      </c>
      <c r="B15" s="2">
        <f t="shared" si="0"/>
        <v>315</v>
      </c>
      <c r="C15" s="8">
        <f t="shared" si="1"/>
        <v>15126.3</v>
      </c>
      <c r="D15" s="8">
        <f t="shared" si="2"/>
        <v>2722.734</v>
      </c>
      <c r="E15" s="8">
        <f t="shared" si="3"/>
        <v>12403.566</v>
      </c>
    </row>
    <row r="16" spans="1:5">
      <c r="A16">
        <v>15</v>
      </c>
      <c r="B16" s="2">
        <f t="shared" si="0"/>
        <v>330</v>
      </c>
      <c r="C16" s="8">
        <f t="shared" si="1"/>
        <v>15846.6</v>
      </c>
      <c r="D16" s="8">
        <f t="shared" si="2"/>
        <v>2852.388</v>
      </c>
      <c r="E16" s="8">
        <f t="shared" si="3"/>
        <v>12994.212</v>
      </c>
    </row>
    <row r="17" spans="1:5">
      <c r="A17">
        <v>16</v>
      </c>
      <c r="B17" s="2">
        <f t="shared" si="0"/>
        <v>345</v>
      </c>
      <c r="C17" s="8">
        <f t="shared" si="1"/>
        <v>16566.9</v>
      </c>
      <c r="D17" s="8">
        <f t="shared" si="2"/>
        <v>2982.042</v>
      </c>
      <c r="E17" s="8">
        <f t="shared" si="3"/>
        <v>13584.858</v>
      </c>
    </row>
    <row r="18" spans="1:5">
      <c r="A18">
        <v>17</v>
      </c>
      <c r="B18" s="2">
        <f t="shared" si="0"/>
        <v>360</v>
      </c>
      <c r="C18" s="8">
        <f t="shared" si="1"/>
        <v>17287.2</v>
      </c>
      <c r="D18" s="8">
        <f t="shared" si="2"/>
        <v>3111.696</v>
      </c>
      <c r="E18" s="8">
        <f t="shared" si="3"/>
        <v>14175.504</v>
      </c>
    </row>
    <row r="19" spans="1:5">
      <c r="A19">
        <v>18</v>
      </c>
      <c r="B19" s="2">
        <f t="shared" si="0"/>
        <v>375</v>
      </c>
      <c r="C19" s="8">
        <f t="shared" si="1"/>
        <v>18007.5</v>
      </c>
      <c r="D19" s="8">
        <f t="shared" si="2"/>
        <v>3241.35</v>
      </c>
      <c r="E19" s="8">
        <f t="shared" si="3"/>
        <v>14766.15</v>
      </c>
    </row>
    <row r="20" spans="1:5">
      <c r="A20">
        <v>19</v>
      </c>
      <c r="B20" s="2">
        <f t="shared" si="0"/>
        <v>390</v>
      </c>
      <c r="C20" s="8">
        <f t="shared" si="1"/>
        <v>18727.8</v>
      </c>
      <c r="D20" s="8">
        <f t="shared" si="2"/>
        <v>3371.004</v>
      </c>
      <c r="E20" s="8">
        <f t="shared" si="3"/>
        <v>15356.796</v>
      </c>
    </row>
    <row r="21" spans="1:5">
      <c r="A21">
        <v>20</v>
      </c>
      <c r="B21" s="2">
        <f t="shared" si="0"/>
        <v>405</v>
      </c>
      <c r="C21" s="8">
        <f t="shared" si="1"/>
        <v>19448.1</v>
      </c>
      <c r="D21" s="8">
        <f t="shared" si="2"/>
        <v>3500.658</v>
      </c>
      <c r="E21" s="8">
        <f t="shared" si="3"/>
        <v>15947.442</v>
      </c>
    </row>
    <row r="22" spans="1:5">
      <c r="A22">
        <v>21</v>
      </c>
      <c r="B22" s="2">
        <f t="shared" si="0"/>
        <v>420</v>
      </c>
      <c r="C22" s="8">
        <f t="shared" si="1"/>
        <v>20168.4</v>
      </c>
      <c r="D22" s="8">
        <f t="shared" si="2"/>
        <v>3630.312</v>
      </c>
      <c r="E22" s="8">
        <f t="shared" si="3"/>
        <v>16538.088</v>
      </c>
    </row>
    <row r="23" spans="1:5">
      <c r="A23">
        <v>22</v>
      </c>
      <c r="B23" s="2">
        <f t="shared" si="0"/>
        <v>435</v>
      </c>
      <c r="C23" s="8">
        <f t="shared" si="1"/>
        <v>20888.7</v>
      </c>
      <c r="D23" s="8">
        <f t="shared" si="2"/>
        <v>3759.966</v>
      </c>
      <c r="E23" s="8">
        <f t="shared" si="3"/>
        <v>17128.734</v>
      </c>
    </row>
    <row r="24" spans="1:5">
      <c r="A24">
        <v>23</v>
      </c>
      <c r="B24" s="2">
        <f t="shared" si="0"/>
        <v>450</v>
      </c>
      <c r="C24" s="8">
        <f t="shared" si="1"/>
        <v>21609</v>
      </c>
      <c r="D24" s="8">
        <f t="shared" si="2"/>
        <v>3889.62</v>
      </c>
      <c r="E24" s="8">
        <f t="shared" si="3"/>
        <v>17719.38</v>
      </c>
    </row>
    <row r="25" spans="1:5">
      <c r="A25">
        <v>24</v>
      </c>
      <c r="B25" s="2">
        <f t="shared" si="0"/>
        <v>465</v>
      </c>
      <c r="C25" s="8">
        <f t="shared" si="1"/>
        <v>22329.3</v>
      </c>
      <c r="D25" s="8">
        <f t="shared" si="2"/>
        <v>4019.274</v>
      </c>
      <c r="E25" s="8">
        <f t="shared" si="3"/>
        <v>18310.026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116688.6</v>
      </c>
      <c r="C2" s="5">
        <f>SUM(Revenue!C14:C25)</f>
        <v>220411.8</v>
      </c>
    </row>
    <row r="3" spans="1:3">
      <c r="A3" t="s">
        <v>11</v>
      </c>
      <c r="B3" s="5">
        <f>SUM(Revenue!D2:D13)</f>
        <v>21003.948</v>
      </c>
      <c r="C3" s="5">
        <f>SUM(Revenue!D14:D25)</f>
        <v>39674.124</v>
      </c>
    </row>
    <row r="4" spans="1:3">
      <c r="A4" t="s">
        <v>12</v>
      </c>
      <c r="B4" s="5">
        <f>B2-B3</f>
        <v>95684.652</v>
      </c>
      <c r="C4" s="5">
        <f>C2-C3</f>
        <v>180737.676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-924315.348</v>
      </c>
      <c r="C6" s="5">
        <f>C4-C5</f>
        <v>-839262.324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116688.6</v>
      </c>
    </row>
    <row r="3" spans="1:2">
      <c r="A3" t="s">
        <v>20</v>
      </c>
      <c r="B3" s="5">
        <f>'P&amp;L'!C2</f>
        <v>220411.8</v>
      </c>
    </row>
    <row r="4" spans="1:2">
      <c r="A4" t="s">
        <v>21</v>
      </c>
      <c r="B4" s="5">
        <f>'P&amp;L'!C6</f>
        <v>-839262.324</v>
      </c>
    </row>
    <row r="5" spans="1:2">
      <c r="A5" t="s">
        <v>22</v>
      </c>
      <c r="B5" s="2">
        <f>Revenue!B25</f>
        <v>465</v>
      </c>
    </row>
    <row r="6" spans="1:2">
      <c r="A6" t="s">
        <v>23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