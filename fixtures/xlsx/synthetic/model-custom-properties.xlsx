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<sst xmlns="http://schemas.openxmlformats.org/spreadsheetml/2006/main" count="26" uniqueCount="24">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</sst>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1166.886</v>
      </c>
      <c r="E3" s="8">
        <f t="shared" si="3"/>
        <v>5315.814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1296.54</v>
      </c>
      <c r="E4" s="8">
        <f t="shared" si="3"/>
        <v>5906.46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1426.194</v>
      </c>
      <c r="E5" s="8">
        <f t="shared" si="3"/>
        <v>6497.106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1555.848</v>
      </c>
      <c r="E6" s="8">
        <f t="shared" si="3"/>
        <v>7087.752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1685.502</v>
      </c>
      <c r="E7" s="8">
        <f t="shared" si="3"/>
        <v>7678.398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1815.156</v>
      </c>
      <c r="E8" s="8">
        <f t="shared" si="3"/>
        <v>8269.044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1944.81</v>
      </c>
      <c r="E9" s="8">
        <f t="shared" si="3"/>
        <v>8859.69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2074.464</v>
      </c>
      <c r="E10" s="8">
        <f t="shared" si="3"/>
        <v>9450.336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2204.118</v>
      </c>
      <c r="E11" s="8">
        <f t="shared" si="3"/>
        <v>10040.982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2333.772</v>
      </c>
      <c r="E12" s="8">
        <f t="shared" si="3"/>
        <v>10631.628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2463.426</v>
      </c>
      <c r="E13" s="8">
        <f t="shared" si="3"/>
        <v>11222.274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2593.08</v>
      </c>
      <c r="E14" s="8">
        <f t="shared" si="3"/>
        <v>11812.92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2722.734</v>
      </c>
      <c r="E15" s="8">
        <f t="shared" si="3"/>
        <v>12403.566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2852.388</v>
      </c>
      <c r="E16" s="8">
        <f t="shared" si="3"/>
        <v>12994.212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2982.042</v>
      </c>
      <c r="E17" s="8">
        <f t="shared" si="3"/>
        <v>13584.858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3111.696</v>
      </c>
      <c r="E18" s="8">
        <f t="shared" si="3"/>
        <v>14175.504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3241.35</v>
      </c>
      <c r="E19" s="8">
        <f t="shared" si="3"/>
        <v>14766.15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3371.004</v>
      </c>
      <c r="E20" s="8">
        <f t="shared" si="3"/>
        <v>15356.796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3500.658</v>
      </c>
      <c r="E21" s="8">
        <f t="shared" si="3"/>
        <v>15947.442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3630.312</v>
      </c>
      <c r="E22" s="8">
        <f t="shared" si="3"/>
        <v>16538.088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3759.966</v>
      </c>
      <c r="E23" s="8">
        <f t="shared" si="3"/>
        <v>17128.734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3889.62</v>
      </c>
      <c r="E24" s="8">
        <f t="shared" si="3"/>
        <v>17719.38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4019.274</v>
      </c>
      <c r="E25" s="8">
        <f t="shared" si="3"/>
        <v>18310.026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116688.6</v>
      </c>
      <c r="C2" s="5">
        <f>SUM(Revenue!C14:C25)</f>
        <v>220411.8</v>
      </c>
    </row>
    <row r="3" spans="1:3">
      <c r="A3" t="s">
        <v>11</v>
      </c>
      <c r="B3" s="5">
        <f>SUM(Revenue!D2:D13)</f>
        <v>21003.948</v>
      </c>
      <c r="C3" s="5">
        <f>SUM(Revenue!D14:D25)</f>
        <v>39674.124</v>
      </c>
    </row>
    <row r="4" spans="1:3">
      <c r="A4" t="s">
        <v>12</v>
      </c>
      <c r="B4" s="5">
        <f>B2-B3</f>
        <v>95684.652</v>
      </c>
      <c r="C4" s="5">
        <f>C2-C3</f>
        <v>180737.676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-924315.348</v>
      </c>
      <c r="C6" s="5">
        <f>C4-C5</f>
        <v>-839262.324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116688.6</v>
      </c>
    </row>
    <row r="3" spans="1:2">
      <c r="A3" t="s">
        <v>20</v>
      </c>
      <c r="B3" s="5">
        <f>'P&amp;L'!C2</f>
        <v>220411.8</v>
      </c>
    </row>
    <row r="4" spans="1:2">
      <c r="A4" t="s">
        <v>21</v>
      </c>
      <c r="B4" s="5">
        <f>'P&amp;L'!C6</f>
        <v>-839262.324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Brightwell Analytics</vt:lpwstr>
  </property>
  <property fmtid="{D5CDD505-2E9C-101B-9397-08002B2CF9AE}" pid="3" name="Reviewed">
    <vt:lpwstr>No</vt:lpwstr>
  </property>
</Properties>
</file>