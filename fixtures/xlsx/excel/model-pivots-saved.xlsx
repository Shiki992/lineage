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xr:revisionPtr revIDLastSave="0" documentId="8_{2C57A13D-0FB7-4FB9-856C-25661BAB8BE6}" xr6:coauthVersionLast="47" xr6:coauthVersionMax="47" xr10:uidLastSave="{00000000-0000-0000-0000-000000000000}"/>
  <bookViews>
    <workbookView xWindow="-110" yWindow="-110" windowWidth="25820" windowHeight="13900" xr2:uid="{00000000-000D-0000-FFFF-FFFF00000000}"/>
  </bookViews>
  <sheets>
    <sheet name="Assumptions" sheetId="1" r:id="rId1"/>
    <sheet name="Revenue" sheetId="2" r:id="rId2"/>
    <sheet name="P&amp;L" sheetId="3" r:id="rId3"/>
    <sheet name="Summary" sheetId="4" r:id="rId4"/>
    <sheet name="Sales" sheetId="5" r:id="rId5"/>
    <sheet name="Pivots" sheetId="6" r:id="rId6"/>
  </sheets>
  <definedNames>
    <definedName name="Churn">Assumptions!$B$5</definedName>
    <definedName name="CogsShare">Assumptions!$B$6</definedName>
    <definedName name="NewSeats">Assumptions!$B$3</definedName>
    <definedName name="Opex">Assumptions!$B$7</definedName>
    <definedName name="Price">Assumptions!$B$4</definedName>
    <definedName name="Slicer_Region">#N/A</definedName>
    <definedName name="StartSeats">Assumptions!$B$2</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C5" i="3"/>
  <c r="B5" i="3"/>
  <c r="B2" i="2"/>
  <c r="B3" i="2" s="1"/>
  <c r="B4" i="2" l="1"/>
  <c r="C3" i="2"/>
  <c r="C2" i="2"/>
  <c r="E2" i="2" l="1"/>
  <c r="D2" i="2"/>
  <c r="D3" i="2"/>
  <c r="E3" i="2" s="1"/>
  <c r="C4" i="2"/>
  <c r="B5" i="2"/>
  <c r="D4" i="2" l="1"/>
  <c r="E4" i="2" s="1"/>
  <c r="B6" i="2"/>
  <c r="C5" i="2"/>
  <c r="D5" i="2" l="1"/>
  <c r="E5" i="2"/>
  <c r="C6" i="2"/>
  <c r="B7" i="2"/>
  <c r="B8" i="2" l="1"/>
  <c r="C7" i="2"/>
  <c r="D6" i="2"/>
  <c r="E6" i="2" s="1"/>
  <c r="D7" i="2" l="1"/>
  <c r="E7" i="2" s="1"/>
  <c r="B9" i="2"/>
  <c r="C8" i="2"/>
  <c r="E8" i="2" l="1"/>
  <c r="D8" i="2"/>
  <c r="C9" i="2"/>
  <c r="B10" i="2"/>
  <c r="C10" i="2" l="1"/>
  <c r="B11" i="2"/>
  <c r="D9" i="2"/>
  <c r="E9" i="2"/>
  <c r="B12" i="2" l="1"/>
  <c r="C11" i="2"/>
  <c r="E10" i="2"/>
  <c r="D10" i="2"/>
  <c r="D11" i="2" l="1"/>
  <c r="E11" i="2" s="1"/>
  <c r="B13" i="2"/>
  <c r="C12" i="2"/>
  <c r="D12" i="2" l="1"/>
  <c r="E12" i="2" s="1"/>
  <c r="B14" i="2"/>
  <c r="C13" i="2"/>
  <c r="D13" i="2" l="1"/>
  <c r="B3" i="3" s="1"/>
  <c r="B2" i="3"/>
  <c r="C14" i="2"/>
  <c r="B15" i="2"/>
  <c r="B2" i="4" l="1"/>
  <c r="B4" i="3"/>
  <c r="B6" i="3" s="1"/>
  <c r="C15" i="2"/>
  <c r="B16" i="2"/>
  <c r="D14" i="2"/>
  <c r="E13" i="2"/>
  <c r="E14" i="2" l="1"/>
  <c r="D15" i="2"/>
  <c r="B17" i="2"/>
  <c r="C16" i="2"/>
  <c r="D16" i="2" l="1"/>
  <c r="B18" i="2"/>
  <c r="C17" i="2"/>
  <c r="E15" i="2"/>
  <c r="D17" i="2" l="1"/>
  <c r="E17" i="2" s="1"/>
  <c r="B19" i="2"/>
  <c r="C18" i="2"/>
  <c r="E16" i="2"/>
  <c r="D18" i="2" l="1"/>
  <c r="E18" i="2" s="1"/>
  <c r="C19" i="2"/>
  <c r="B20" i="2"/>
  <c r="C20" i="2" l="1"/>
  <c r="B21" i="2"/>
  <c r="D19" i="2"/>
  <c r="E19" i="2"/>
  <c r="B22" i="2" l="1"/>
  <c r="C21" i="2"/>
  <c r="D20" i="2"/>
  <c r="E20" i="2"/>
  <c r="D21" i="2" l="1"/>
  <c r="E21" i="2" s="1"/>
  <c r="B23" i="2"/>
  <c r="C22" i="2"/>
  <c r="D22" i="2" l="1"/>
  <c r="E22" i="2" s="1"/>
  <c r="B24" i="2"/>
  <c r="C23" i="2"/>
  <c r="D23" i="2" l="1"/>
  <c r="E23" i="2" s="1"/>
  <c r="C24" i="2"/>
  <c r="B25" i="2"/>
  <c r="B5" i="4" l="1"/>
  <c r="C25" i="2"/>
  <c r="D24" i="2"/>
  <c r="E24" i="2" s="1"/>
  <c r="D25" i="2" l="1"/>
  <c r="C3" i="3" s="1"/>
  <c r="C2" i="3"/>
  <c r="B3" i="4" l="1"/>
  <c r="C4" i="3"/>
  <c r="C6" i="3" s="1"/>
  <c r="B4" i="4" s="1"/>
  <c r="E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Dana Whitfield</author>
  </authors>
  <commentList>
    <comment ref="B3" authorId="0" shapeId="0" xr:uid="{00000000-0006-0000-0000-000001000000}">
      <text>
        <r>
          <rPr>
            <sz val="11"/>
            <color theme="1"/>
            <rFont val="Calibri"/>
            <family val="2"/>
            <scheme val="minor"/>
          </rPr>
          <t>Based on the Q3 pipeline.</t>
        </r>
      </text>
    </comment>
  </commentList>
</comments>
</file>

<file path=xl/sharedStrings.xml><?xml version="1.0" encoding="utf-8"?>
<sst xmlns="http://schemas.openxmlformats.org/spreadsheetml/2006/main" count="81" uniqueCount="38">
  <si>
    <t>Assumption</t>
  </si>
  <si>
    <t>Value</t>
  </si>
  <si>
    <t>Starting seats</t>
  </si>
  <si>
    <t>New seats per month</t>
  </si>
  <si>
    <t>Price per seat</t>
  </si>
  <si>
    <t>Monthly churn</t>
  </si>
  <si>
    <t>COGS share</t>
  </si>
  <si>
    <t>Monthly opex</t>
  </si>
  <si>
    <t>Month</t>
  </si>
  <si>
    <t>Seats</t>
  </si>
  <si>
    <t>MRR</t>
  </si>
  <si>
    <t>COGS</t>
  </si>
  <si>
    <t>Gross margin</t>
  </si>
  <si>
    <t>Year 1</t>
  </si>
  <si>
    <t>Year 2</t>
  </si>
  <si>
    <t>Revenue</t>
  </si>
  <si>
    <t>Operating expenses</t>
  </si>
  <si>
    <t>EBITDA</t>
  </si>
  <si>
    <t>Brightwell Analytics: summary</t>
  </si>
  <si>
    <t>Year 1 revenue</t>
  </si>
  <si>
    <t>Year 2 revenue</t>
  </si>
  <si>
    <t>Year 2 EBITDA</t>
  </si>
  <si>
    <t>Seats at month 24</t>
  </si>
  <si>
    <t>Prepared on</t>
  </si>
  <si>
    <t>Region</t>
  </si>
  <si>
    <t>Plan</t>
  </si>
  <si>
    <t>North</t>
  </si>
  <si>
    <t>Starter</t>
  </si>
  <si>
    <t>Jan</t>
  </si>
  <si>
    <t>Team</t>
  </si>
  <si>
    <t>South</t>
  </si>
  <si>
    <t>West</t>
  </si>
  <si>
    <t>Feb</t>
  </si>
  <si>
    <t>(All)</t>
  </si>
  <si>
    <t>Row Labels</t>
  </si>
  <si>
    <t>Sum of Revenue</t>
  </si>
  <si>
    <t>Sum of Seats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</si>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</sst>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9" fontId="0" fillId="0" borderId="0" xfId="0" applyNumberFormat="1"/>
    <xf numFmtId="3" fontId="0" fillId="0" borderId="0" xfId="0" applyNumberFormat="1"/>
    <xf numFmtId="164" fontId="0" fillId="0" borderId="0" xfId="0" applyNumberFormat="1"/>
    <xf numFmtId="0" fontId="1" fillId="0" borderId="0" xfId="0" applyFont="1"/>
    <xf numFmtId="165" fontId="0" fillId="0" borderId="0" xfId="0" applyNumberFormat="1"/>
    <xf numFmtId="10" fontId="0" fillId="0" borderId="0" xfId="0" applyNumberFormat="1"/>
    <xf numFmtId="4" fontId="0" fillId="0" borderId="0" xfId="0" applyNumberFormat="1"/>
    <xf numFmtId="0" fontId="1" fillId="0" borderId="0" xfId="0" applyFont="1"/>
    <xf numFmtId="0" fontId="0" fillId="0" borderId="0" xfId="0"/>
  </cellXfs>
  <cellStyles count="1">
    <cellStyle name="Normal" xfId="0" builtinId="0"/>
  </cellStyles>
  <dxfs count="1">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9</xdr:col>
      <xdr:colOff>0</xdr:colOff>
      <xdr:row>12</xdr:row>
      <xdr:rowOff>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57600" y="368300"/>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eage fixture generator" refreshedDate="46310.5" createdVersion="8" refreshedVersion="8" minRefreshableVersion="3" recordCount="12" xr:uid="{00000000-000A-0000-FFFF-FFFF01000000}">
  <cacheSource type="worksheet">
    <worksheetSource ref="A1:E13" sheet="Sales"/>
  </cacheSource>
  <cacheFields count="6">
    <cacheField name="Region" numFmtId="0">
      <sharedItems count="3">
        <s v="North"/>
        <s v="South"/>
        <s v="West"/>
      </sharedItems>
    </cacheField>
    <cacheField name="Plan" numFmtId="0">
      <sharedItems count="2">
        <s v="Starter"/>
        <s v="Team"/>
      </sharedItems>
    </cacheField>
    <cacheField name="Month" numFmtId="0">
      <sharedItems count="2">
        <s v="Jan"/>
        <s v="Feb"/>
      </sharedItems>
    </cacheField>
    <cacheField name="Seats" numFmtId="0">
      <sharedItems containsSemiMixedTypes="0" containsString="0" containsNumber="1"/>
    </cacheField>
    <cacheField name="Revenue" numFmtId="0">
      <sharedItems containsSemiMixedTypes="0" containsString="0" containsNumber="1"/>
    </cacheField>
    <cacheField name="Revenue per seat" numFmtId="0" formula="Revenue/Seat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x v="0"/>
    <x v="0"/>
    <n v="10"/>
    <n v="290"/>
  </r>
  <r>
    <x v="0"/>
    <x v="1"/>
    <x v="0"/>
    <n v="4"/>
    <n v="396"/>
  </r>
  <r>
    <x v="1"/>
    <x v="0"/>
    <x v="0"/>
    <n v="6"/>
    <n v="174"/>
  </r>
  <r>
    <x v="1"/>
    <x v="1"/>
    <x v="0"/>
    <n v="2"/>
    <n v="198"/>
  </r>
  <r>
    <x v="2"/>
    <x v="0"/>
    <x v="0"/>
    <n v="8"/>
    <n v="232"/>
  </r>
  <r>
    <x v="2"/>
    <x v="1"/>
    <x v="0"/>
    <n v="3"/>
    <n v="297"/>
  </r>
  <r>
    <x v="0"/>
    <x v="0"/>
    <x v="1"/>
    <n v="12"/>
    <n v="348"/>
  </r>
  <r>
    <x v="0"/>
    <x v="1"/>
    <x v="1"/>
    <n v="5"/>
    <n v="495"/>
  </r>
  <r>
    <x v="1"/>
    <x v="0"/>
    <x v="1"/>
    <n v="7"/>
    <n v="203"/>
  </r>
  <r>
    <x v="1"/>
    <x v="1"/>
    <x v="1"/>
    <n v="2"/>
    <n v="198"/>
  </r>
  <r>
    <x v="2"/>
    <x v="0"/>
    <x v="1"/>
    <n v="9"/>
    <n v="261"/>
  </r>
  <r>
    <x v="2"/>
    <x v="1"/>
    <x v="1"/>
    <n v="4"/>
    <n v="3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RevenueBy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3:C7" firstHeaderRow="0" firstDataRow="1" firstDataCol="1" rowPageCount="1" colPageCount="1"/>
  <pivotFields count="6">
    <pivotField axis="axisRow" showAll="0">
      <items count="4">
        <item x="0"/>
        <item x="1"/>
        <item x="2"/>
        <item t="default"/>
      </items>
    </pivotField>
    <pivotField showAll="0"/>
    <pivotField axis="axisPage" showAll="0">
      <items count="3">
        <item x="0"/>
        <item x="1"/>
        <item t="default"/>
      </items>
    </pivotField>
    <pivotField dataField="1" showAll="0"/>
    <pivotField dataField="1" showAll="0"/>
    <pivotField dragToRow="0" dragToCol="0" dragToPage="0" showAll="0" defaultSubtotal="0"/>
  </pivotFields>
  <rowFields count="1">
    <field x="0"/>
  </rowFields>
  <rowItems count="4">
    <i>
      <x/>
    </i>
    <i>
      <x v="1"/>
    </i>
    <i>
      <x v="2"/>
    </i>
    <i t="grand">
      <x/>
    </i>
  </rowItems>
  <colFields count="1">
    <field x="-2"/>
  </colFields>
  <colItems count="2">
    <i>
      <x/>
    </i>
    <i i="1">
      <x v="1"/>
    </i>
  </colItems>
  <pageFields count="1">
    <pageField fld="2" hier="-1"/>
  </pageFields>
  <dataFields count="2">
    <dataField name="Sum of Revenue" fld="4" baseField="0" baseItem="0"/>
    <dataField name="Sum of Seats" fld="3"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eatsByPlan"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12:B15" firstHeaderRow="1" firstDataRow="1" firstDataCol="1"/>
  <pivotFields count="6">
    <pivotField showAll="0"/>
    <pivotField axis="axisRow" showAll="0">
      <items count="3">
        <item x="0"/>
        <item x="1"/>
        <item t="default"/>
      </items>
    </pivotField>
    <pivotField showAll="0"/>
    <pivotField dataField="1" showAll="0"/>
    <pivotField showAll="0"/>
    <pivotField dragToRow="0" dragToCol="0" dragToPage="0" showAll="0" defaultSubtotal="0"/>
  </pivotFields>
  <rowFields count="1">
    <field x="1"/>
  </rowFields>
  <rowItems count="3">
    <i>
      <x/>
    </i>
    <i>
      <x v="1"/>
    </i>
    <i t="grand">
      <x/>
    </i>
  </rowItems>
  <colItems count="1">
    <i/>
  </colItems>
  <dataFields count="1">
    <dataField name="Sum of Seats" fld="3"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6" name="RevenueByRegion"/>
    <pivotTable tabId="6" name="SeatsByPlan"/>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heetViews>
  <sheetFormatPr defaultRowHeight="14.5" x14ac:dyDescent="0.35"/>
  <cols>
    <col min="1" max="1" width="28" customWidth="1"/>
    <col min="2" max="2" width="14" customWidth="1"/>
  </cols>
  <sheetData>
    <row r="1" spans="1:2" x14ac:dyDescent="0.35">
      <c r="A1" s="4" t="s">
        <v>0</v>
      </c>
      <c r="B1" s="4" t="s">
        <v>1</v>
      </c>
    </row>
    <row r="2" spans="1:2" x14ac:dyDescent="0.35">
      <c r="A2" t="s">
        <v>2</v>
      </c>
      <c r="B2">
        <v>120</v>
      </c>
    </row>
    <row r="3" spans="1:2" x14ac:dyDescent="0.35">
      <c r="A3" t="s">
        <v>3</v>
      </c>
      <c r="B3">
        <v>15</v>
      </c>
    </row>
    <row r="4" spans="1:2" x14ac:dyDescent="0.35">
      <c r="A4" t="s">
        <v>4</v>
      </c>
      <c r="B4" s="5">
        <v>49</v>
      </c>
    </row>
    <row r="5" spans="1:2" x14ac:dyDescent="0.35">
      <c r="A5" t="s">
        <v>5</v>
      </c>
      <c r="B5" s="6">
        <v>0.02</v>
      </c>
    </row>
    <row r="6" spans="1:2" x14ac:dyDescent="0.35">
      <c r="A6" t="s">
        <v>6</v>
      </c>
      <c r="B6" s="1">
        <v>0.18</v>
      </c>
    </row>
    <row r="7" spans="1:2" x14ac:dyDescent="0.35">
      <c r="A7" t="s">
        <v>7</v>
      </c>
      <c r="B7" s="5">
        <v>85000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workbookViewId="0">
      <pane ySplit="1" topLeftCell="A2" activePane="bottomLeft" state="frozen"/>
      <selection pane="bottomLeft" activeCell="A2" sqref="A2"/>
    </sheetView>
  </sheetViews>
  <sheetFormatPr defaultRowHeight="14.5" x14ac:dyDescent="0.35"/>
  <sheetData>
    <row r="1" spans="1:5" x14ac:dyDescent="0.35">
      <c r="A1" s="4" t="s">
        <v>8</v>
      </c>
      <c r="B1" s="4" t="s">
        <v>9</v>
      </c>
      <c r="C1" s="4" t="s">
        <v>10</v>
      </c>
      <c r="D1" s="4" t="s">
        <v>11</v>
      </c>
      <c r="E1" s="4" t="s">
        <v>12</v>
      </c>
    </row>
    <row r="2" spans="1:5" x14ac:dyDescent="0.35">
      <c r="A2">
        <v>1</v>
      </c>
      <c r="B2" s="2">
        <f>StartSeats</f>
        <v>120</v>
      </c>
      <c r="C2" s="7">
        <f t="shared" ref="C2:C25" si="0">B2*Price*(1-Churn)</f>
        <v>5762.4</v>
      </c>
      <c r="D2" s="7">
        <f t="shared" ref="D2:D25" si="1">C2*CogsShare</f>
        <v>1037.232</v>
      </c>
      <c r="E2" s="7">
        <f t="shared" ref="E2:E25" si="2">C2-D2</f>
        <v>4725.1679999999997</v>
      </c>
    </row>
    <row r="3" spans="1:5" x14ac:dyDescent="0.35">
      <c r="A3">
        <v>2</v>
      </c>
      <c r="B3" s="2">
        <f t="shared" ref="B3:B25" si="3">B2+NewSeats</f>
        <v>135</v>
      </c>
      <c r="C3" s="7">
        <f t="shared" si="0"/>
        <v>6482.7</v>
      </c>
      <c r="D3" s="7">
        <f t="shared" si="1"/>
        <v>1166.886</v>
      </c>
      <c r="E3" s="7">
        <f t="shared" si="2"/>
        <v>5315.8140000000003</v>
      </c>
    </row>
    <row r="4" spans="1:5" x14ac:dyDescent="0.35">
      <c r="A4">
        <v>3</v>
      </c>
      <c r="B4" s="2">
        <f t="shared" si="3"/>
        <v>150</v>
      </c>
      <c r="C4" s="7">
        <f t="shared" si="0"/>
        <v>7203</v>
      </c>
      <c r="D4" s="7">
        <f t="shared" si="1"/>
        <v>1296.54</v>
      </c>
      <c r="E4" s="7">
        <f t="shared" si="2"/>
        <v>5906.46</v>
      </c>
    </row>
    <row r="5" spans="1:5" x14ac:dyDescent="0.35">
      <c r="A5">
        <v>4</v>
      </c>
      <c r="B5" s="2">
        <f t="shared" si="3"/>
        <v>165</v>
      </c>
      <c r="C5" s="7">
        <f t="shared" si="0"/>
        <v>7923.3</v>
      </c>
      <c r="D5" s="7">
        <f t="shared" si="1"/>
        <v>1426.194</v>
      </c>
      <c r="E5" s="7">
        <f t="shared" si="2"/>
        <v>6497.1059999999998</v>
      </c>
    </row>
    <row r="6" spans="1:5" x14ac:dyDescent="0.35">
      <c r="A6">
        <v>5</v>
      </c>
      <c r="B6" s="2">
        <f t="shared" si="3"/>
        <v>180</v>
      </c>
      <c r="C6" s="7">
        <f t="shared" si="0"/>
        <v>8643.6</v>
      </c>
      <c r="D6" s="7">
        <f t="shared" si="1"/>
        <v>1555.848</v>
      </c>
      <c r="E6" s="7">
        <f t="shared" si="2"/>
        <v>7087.7520000000004</v>
      </c>
    </row>
    <row r="7" spans="1:5" x14ac:dyDescent="0.35">
      <c r="A7">
        <v>6</v>
      </c>
      <c r="B7" s="2">
        <f t="shared" si="3"/>
        <v>195</v>
      </c>
      <c r="C7" s="7">
        <f t="shared" si="0"/>
        <v>9363.9</v>
      </c>
      <c r="D7" s="7">
        <f t="shared" si="1"/>
        <v>1685.502</v>
      </c>
      <c r="E7" s="7">
        <f t="shared" si="2"/>
        <v>7678.3979999999992</v>
      </c>
    </row>
    <row r="8" spans="1:5" x14ac:dyDescent="0.35">
      <c r="A8">
        <v>7</v>
      </c>
      <c r="B8" s="2">
        <f t="shared" si="3"/>
        <v>210</v>
      </c>
      <c r="C8" s="7">
        <f t="shared" si="0"/>
        <v>10084.199999999999</v>
      </c>
      <c r="D8" s="7">
        <f t="shared" si="1"/>
        <v>1815.1559999999997</v>
      </c>
      <c r="E8" s="7">
        <f t="shared" si="2"/>
        <v>8269.0439999999999</v>
      </c>
    </row>
    <row r="9" spans="1:5" x14ac:dyDescent="0.35">
      <c r="A9">
        <v>8</v>
      </c>
      <c r="B9" s="2">
        <f t="shared" si="3"/>
        <v>225</v>
      </c>
      <c r="C9" s="7">
        <f t="shared" si="0"/>
        <v>10804.5</v>
      </c>
      <c r="D9" s="7">
        <f t="shared" si="1"/>
        <v>1944.81</v>
      </c>
      <c r="E9" s="7">
        <f t="shared" si="2"/>
        <v>8859.69</v>
      </c>
    </row>
    <row r="10" spans="1:5" x14ac:dyDescent="0.35">
      <c r="A10">
        <v>9</v>
      </c>
      <c r="B10" s="2">
        <f t="shared" si="3"/>
        <v>240</v>
      </c>
      <c r="C10" s="7">
        <f t="shared" si="0"/>
        <v>11524.8</v>
      </c>
      <c r="D10" s="7">
        <f t="shared" si="1"/>
        <v>2074.4639999999999</v>
      </c>
      <c r="E10" s="7">
        <f t="shared" si="2"/>
        <v>9450.3359999999993</v>
      </c>
    </row>
    <row r="11" spans="1:5" x14ac:dyDescent="0.35">
      <c r="A11">
        <v>10</v>
      </c>
      <c r="B11" s="2">
        <f t="shared" si="3"/>
        <v>255</v>
      </c>
      <c r="C11" s="7">
        <f t="shared" si="0"/>
        <v>12245.1</v>
      </c>
      <c r="D11" s="7">
        <f t="shared" si="1"/>
        <v>2204.1179999999999</v>
      </c>
      <c r="E11" s="7">
        <f t="shared" si="2"/>
        <v>10040.982</v>
      </c>
    </row>
    <row r="12" spans="1:5" x14ac:dyDescent="0.35">
      <c r="A12">
        <v>11</v>
      </c>
      <c r="B12" s="2">
        <f t="shared" si="3"/>
        <v>270</v>
      </c>
      <c r="C12" s="7">
        <f t="shared" si="0"/>
        <v>12965.4</v>
      </c>
      <c r="D12" s="7">
        <f t="shared" si="1"/>
        <v>2333.7719999999999</v>
      </c>
      <c r="E12" s="7">
        <f t="shared" si="2"/>
        <v>10631.628000000001</v>
      </c>
    </row>
    <row r="13" spans="1:5" x14ac:dyDescent="0.35">
      <c r="A13">
        <v>12</v>
      </c>
      <c r="B13" s="2">
        <f t="shared" si="3"/>
        <v>285</v>
      </c>
      <c r="C13" s="7">
        <f t="shared" si="0"/>
        <v>13685.699999999999</v>
      </c>
      <c r="D13" s="7">
        <f t="shared" si="1"/>
        <v>2463.4259999999999</v>
      </c>
      <c r="E13" s="7">
        <f t="shared" si="2"/>
        <v>11222.273999999999</v>
      </c>
    </row>
    <row r="14" spans="1:5" x14ac:dyDescent="0.35">
      <c r="A14">
        <v>13</v>
      </c>
      <c r="B14" s="2">
        <f t="shared" si="3"/>
        <v>300</v>
      </c>
      <c r="C14" s="7">
        <f t="shared" si="0"/>
        <v>14406</v>
      </c>
      <c r="D14" s="7">
        <f t="shared" si="1"/>
        <v>2593.08</v>
      </c>
      <c r="E14" s="7">
        <f t="shared" si="2"/>
        <v>11812.92</v>
      </c>
    </row>
    <row r="15" spans="1:5" x14ac:dyDescent="0.35">
      <c r="A15">
        <v>14</v>
      </c>
      <c r="B15" s="2">
        <f t="shared" si="3"/>
        <v>315</v>
      </c>
      <c r="C15" s="7">
        <f t="shared" si="0"/>
        <v>15126.3</v>
      </c>
      <c r="D15" s="7">
        <f t="shared" si="1"/>
        <v>2722.7339999999999</v>
      </c>
      <c r="E15" s="7">
        <f t="shared" si="2"/>
        <v>12403.565999999999</v>
      </c>
    </row>
    <row r="16" spans="1:5" x14ac:dyDescent="0.35">
      <c r="A16">
        <v>15</v>
      </c>
      <c r="B16" s="2">
        <f t="shared" si="3"/>
        <v>330</v>
      </c>
      <c r="C16" s="7">
        <f t="shared" si="0"/>
        <v>15846.6</v>
      </c>
      <c r="D16" s="7">
        <f t="shared" si="1"/>
        <v>2852.3879999999999</v>
      </c>
      <c r="E16" s="7">
        <f t="shared" si="2"/>
        <v>12994.212</v>
      </c>
    </row>
    <row r="17" spans="1:5" x14ac:dyDescent="0.35">
      <c r="A17">
        <v>16</v>
      </c>
      <c r="B17" s="2">
        <f t="shared" si="3"/>
        <v>345</v>
      </c>
      <c r="C17" s="7">
        <f t="shared" si="0"/>
        <v>16566.900000000001</v>
      </c>
      <c r="D17" s="7">
        <f t="shared" si="1"/>
        <v>2982.0420000000004</v>
      </c>
      <c r="E17" s="7">
        <f t="shared" si="2"/>
        <v>13584.858</v>
      </c>
    </row>
    <row r="18" spans="1:5" x14ac:dyDescent="0.35">
      <c r="A18">
        <v>17</v>
      </c>
      <c r="B18" s="2">
        <f t="shared" si="3"/>
        <v>360</v>
      </c>
      <c r="C18" s="7">
        <f t="shared" si="0"/>
        <v>17287.2</v>
      </c>
      <c r="D18" s="7">
        <f t="shared" si="1"/>
        <v>3111.6959999999999</v>
      </c>
      <c r="E18" s="7">
        <f t="shared" si="2"/>
        <v>14175.504000000001</v>
      </c>
    </row>
    <row r="19" spans="1:5" x14ac:dyDescent="0.35">
      <c r="A19">
        <v>18</v>
      </c>
      <c r="B19" s="2">
        <f t="shared" si="3"/>
        <v>375</v>
      </c>
      <c r="C19" s="7">
        <f t="shared" si="0"/>
        <v>18007.5</v>
      </c>
      <c r="D19" s="7">
        <f t="shared" si="1"/>
        <v>3241.35</v>
      </c>
      <c r="E19" s="7">
        <f t="shared" si="2"/>
        <v>14766.15</v>
      </c>
    </row>
    <row r="20" spans="1:5" x14ac:dyDescent="0.35">
      <c r="A20">
        <v>19</v>
      </c>
      <c r="B20" s="2">
        <f t="shared" si="3"/>
        <v>390</v>
      </c>
      <c r="C20" s="7">
        <f t="shared" si="0"/>
        <v>18727.8</v>
      </c>
      <c r="D20" s="7">
        <f t="shared" si="1"/>
        <v>3371.0039999999999</v>
      </c>
      <c r="E20" s="7">
        <f t="shared" si="2"/>
        <v>15356.795999999998</v>
      </c>
    </row>
    <row r="21" spans="1:5" x14ac:dyDescent="0.35">
      <c r="A21">
        <v>20</v>
      </c>
      <c r="B21" s="2">
        <f t="shared" si="3"/>
        <v>405</v>
      </c>
      <c r="C21" s="7">
        <f t="shared" si="0"/>
        <v>19448.099999999999</v>
      </c>
      <c r="D21" s="7">
        <f t="shared" si="1"/>
        <v>3500.6579999999994</v>
      </c>
      <c r="E21" s="7">
        <f t="shared" si="2"/>
        <v>15947.441999999999</v>
      </c>
    </row>
    <row r="22" spans="1:5" x14ac:dyDescent="0.35">
      <c r="A22">
        <v>21</v>
      </c>
      <c r="B22" s="2">
        <f t="shared" si="3"/>
        <v>420</v>
      </c>
      <c r="C22" s="7">
        <f t="shared" si="0"/>
        <v>20168.399999999998</v>
      </c>
      <c r="D22" s="7">
        <f t="shared" si="1"/>
        <v>3630.3119999999994</v>
      </c>
      <c r="E22" s="7">
        <f t="shared" si="2"/>
        <v>16538.088</v>
      </c>
    </row>
    <row r="23" spans="1:5" x14ac:dyDescent="0.35">
      <c r="A23">
        <v>22</v>
      </c>
      <c r="B23" s="2">
        <f t="shared" si="3"/>
        <v>435</v>
      </c>
      <c r="C23" s="7">
        <f t="shared" si="0"/>
        <v>20888.7</v>
      </c>
      <c r="D23" s="7">
        <f t="shared" si="1"/>
        <v>3759.9659999999999</v>
      </c>
      <c r="E23" s="7">
        <f t="shared" si="2"/>
        <v>17128.734</v>
      </c>
    </row>
    <row r="24" spans="1:5" x14ac:dyDescent="0.35">
      <c r="A24">
        <v>23</v>
      </c>
      <c r="B24" s="2">
        <f t="shared" si="3"/>
        <v>450</v>
      </c>
      <c r="C24" s="7">
        <f t="shared" si="0"/>
        <v>21609</v>
      </c>
      <c r="D24" s="7">
        <f t="shared" si="1"/>
        <v>3889.62</v>
      </c>
      <c r="E24" s="7">
        <f t="shared" si="2"/>
        <v>17719.38</v>
      </c>
    </row>
    <row r="25" spans="1:5" x14ac:dyDescent="0.35">
      <c r="A25">
        <v>24</v>
      </c>
      <c r="B25" s="2">
        <f t="shared" si="3"/>
        <v>465</v>
      </c>
      <c r="C25" s="7">
        <f t="shared" si="0"/>
        <v>22329.3</v>
      </c>
      <c r="D25" s="7">
        <f t="shared" si="1"/>
        <v>4019.2739999999999</v>
      </c>
      <c r="E25" s="7">
        <f t="shared" si="2"/>
        <v>18310.025999999998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5" x14ac:dyDescent="0.35"/>
  <sheetData>
    <row r="1" spans="1:3" x14ac:dyDescent="0.35">
      <c r="B1" s="4" t="s">
        <v>13</v>
      </c>
      <c r="C1" s="4" t="s">
        <v>14</v>
      </c>
    </row>
    <row r="2" spans="1:3" x14ac:dyDescent="0.35">
      <c r="A2" t="s">
        <v>15</v>
      </c>
      <c r="B2" s="5">
        <f>SUM(Revenue!C2:C13)</f>
        <v>116688.6</v>
      </c>
      <c r="C2" s="5">
        <f>SUM(Revenue!C14:C25)</f>
        <v>220411.8</v>
      </c>
    </row>
    <row r="3" spans="1:3" x14ac:dyDescent="0.35">
      <c r="A3" t="s">
        <v>11</v>
      </c>
      <c r="B3" s="5">
        <f>SUM(Revenue!D2:D13)</f>
        <v>21003.947999999997</v>
      </c>
      <c r="C3" s="5">
        <f>SUM(Revenue!D14:D25)</f>
        <v>39674.123999999996</v>
      </c>
    </row>
    <row r="4" spans="1:3" x14ac:dyDescent="0.35">
      <c r="A4" t="s">
        <v>12</v>
      </c>
      <c r="B4" s="5">
        <f>B2-B3</f>
        <v>95684.652000000002</v>
      </c>
      <c r="C4" s="5">
        <f>C2-C3</f>
        <v>180737.67599999998</v>
      </c>
    </row>
    <row r="5" spans="1:3" x14ac:dyDescent="0.35">
      <c r="A5" t="s">
        <v>16</v>
      </c>
      <c r="B5" s="5">
        <f>Opex*12</f>
        <v>1020000</v>
      </c>
      <c r="C5" s="5">
        <f>Opex*12</f>
        <v>1020000</v>
      </c>
    </row>
    <row r="6" spans="1:3" x14ac:dyDescent="0.35">
      <c r="A6" s="4" t="s">
        <v>17</v>
      </c>
      <c r="B6" s="5">
        <f>B4-B5</f>
        <v>-924315.348</v>
      </c>
      <c r="C6" s="5">
        <f>C4-C5</f>
        <v>-839262.32400000002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defaultRowHeight="14.5" x14ac:dyDescent="0.35"/>
  <cols>
    <col min="1" max="1" width="24" customWidth="1"/>
    <col min="2" max="2" width="16" customWidth="1"/>
  </cols>
  <sheetData>
    <row r="1" spans="1:2" x14ac:dyDescent="0.35">
      <c r="A1" s="8" t="s">
        <v>18</v>
      </c>
      <c r="B1" s="9"/>
    </row>
    <row r="2" spans="1:2" x14ac:dyDescent="0.35">
      <c r="A2" t="s">
        <v>19</v>
      </c>
      <c r="B2" s="5">
        <f>'P&amp;L'!B2</f>
        <v>116688.6</v>
      </c>
    </row>
    <row r="3" spans="1:2" x14ac:dyDescent="0.35">
      <c r="A3" t="s">
        <v>20</v>
      </c>
      <c r="B3" s="5">
        <f>'P&amp;L'!C2</f>
        <v>220411.8</v>
      </c>
    </row>
    <row r="4" spans="1:2" x14ac:dyDescent="0.35">
      <c r="A4" t="s">
        <v>21</v>
      </c>
      <c r="B4" s="5">
        <f>'P&amp;L'!C6</f>
        <v>-839262.32400000002</v>
      </c>
    </row>
    <row r="5" spans="1:2" x14ac:dyDescent="0.35">
      <c r="A5" t="s">
        <v>22</v>
      </c>
      <c r="B5" s="2">
        <f>Revenue!B25</f>
        <v>465</v>
      </c>
    </row>
    <row r="6" spans="1:2" x14ac:dyDescent="0.35">
      <c r="A6" t="s">
        <v>23</v>
      </c>
      <c r="B6" s="3">
        <f ca="1">TODAY()</f>
        <v>46314</v>
      </c>
    </row>
  </sheetData>
  <mergeCells count="1">
    <mergeCell ref="A1:B1"/>
  </mergeCells>
  <conditionalFormatting sqref="B4">
    <cfRule type="expression" dxfId="0" priority="1">
      <formula>B4&lt;0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sheetViews>
  <sheetFormatPr defaultRowHeight="14.5" x14ac:dyDescent="0.35"/>
  <sheetData>
    <row r="1" spans="1:5" x14ac:dyDescent="0.35">
      <c r="A1" s="4" t="s">
        <v>24</v>
      </c>
      <c r="B1" s="4" t="s">
        <v>25</v>
      </c>
      <c r="C1" s="4" t="s">
        <v>8</v>
      </c>
      <c r="D1" s="4" t="s">
        <v>9</v>
      </c>
      <c r="E1" s="4" t="s">
        <v>15</v>
      </c>
    </row>
    <row r="2" spans="1:5" x14ac:dyDescent="0.35">
      <c r="A2" t="s">
        <v>26</v>
      </c>
      <c r="B2" t="s">
        <v>27</v>
      </c>
      <c r="C2" t="s">
        <v>28</v>
      </c>
      <c r="D2">
        <v>10</v>
      </c>
      <c r="E2">
        <v>290</v>
      </c>
    </row>
    <row r="3" spans="1:5" x14ac:dyDescent="0.35">
      <c r="A3" t="s">
        <v>26</v>
      </c>
      <c r="B3" t="s">
        <v>29</v>
      </c>
      <c r="C3" t="s">
        <v>28</v>
      </c>
      <c r="D3">
        <v>4</v>
      </c>
      <c r="E3">
        <v>396</v>
      </c>
    </row>
    <row r="4" spans="1:5" x14ac:dyDescent="0.35">
      <c r="A4" t="s">
        <v>30</v>
      </c>
      <c r="B4" t="s">
        <v>27</v>
      </c>
      <c r="C4" t="s">
        <v>28</v>
      </c>
      <c r="D4">
        <v>6</v>
      </c>
      <c r="E4">
        <v>174</v>
      </c>
    </row>
    <row r="5" spans="1:5" x14ac:dyDescent="0.35">
      <c r="A5" t="s">
        <v>30</v>
      </c>
      <c r="B5" t="s">
        <v>29</v>
      </c>
      <c r="C5" t="s">
        <v>28</v>
      </c>
      <c r="D5">
        <v>2</v>
      </c>
      <c r="E5">
        <v>198</v>
      </c>
    </row>
    <row r="6" spans="1:5" x14ac:dyDescent="0.35">
      <c r="A6" t="s">
        <v>31</v>
      </c>
      <c r="B6" t="s">
        <v>27</v>
      </c>
      <c r="C6" t="s">
        <v>28</v>
      </c>
      <c r="D6">
        <v>8</v>
      </c>
      <c r="E6">
        <v>232</v>
      </c>
    </row>
    <row r="7" spans="1:5" x14ac:dyDescent="0.35">
      <c r="A7" t="s">
        <v>31</v>
      </c>
      <c r="B7" t="s">
        <v>29</v>
      </c>
      <c r="C7" t="s">
        <v>28</v>
      </c>
      <c r="D7">
        <v>3</v>
      </c>
      <c r="E7">
        <v>297</v>
      </c>
    </row>
    <row r="8" spans="1:5" x14ac:dyDescent="0.35">
      <c r="A8" t="s">
        <v>26</v>
      </c>
      <c r="B8" t="s">
        <v>27</v>
      </c>
      <c r="C8" t="s">
        <v>32</v>
      </c>
      <c r="D8">
        <v>12</v>
      </c>
      <c r="E8">
        <v>348</v>
      </c>
    </row>
    <row r="9" spans="1:5" x14ac:dyDescent="0.35">
      <c r="A9" t="s">
        <v>26</v>
      </c>
      <c r="B9" t="s">
        <v>29</v>
      </c>
      <c r="C9" t="s">
        <v>32</v>
      </c>
      <c r="D9">
        <v>5</v>
      </c>
      <c r="E9">
        <v>495</v>
      </c>
    </row>
    <row r="10" spans="1:5" x14ac:dyDescent="0.35">
      <c r="A10" t="s">
        <v>30</v>
      </c>
      <c r="B10" t="s">
        <v>27</v>
      </c>
      <c r="C10" t="s">
        <v>32</v>
      </c>
      <c r="D10">
        <v>7</v>
      </c>
      <c r="E10">
        <v>203</v>
      </c>
    </row>
    <row r="11" spans="1:5" x14ac:dyDescent="0.35">
      <c r="A11" t="s">
        <v>30</v>
      </c>
      <c r="B11" t="s">
        <v>29</v>
      </c>
      <c r="C11" t="s">
        <v>32</v>
      </c>
      <c r="D11">
        <v>2</v>
      </c>
      <c r="E11">
        <v>198</v>
      </c>
    </row>
    <row r="12" spans="1:5" x14ac:dyDescent="0.35">
      <c r="A12" t="s">
        <v>31</v>
      </c>
      <c r="B12" t="s">
        <v>27</v>
      </c>
      <c r="C12" t="s">
        <v>32</v>
      </c>
      <c r="D12">
        <v>9</v>
      </c>
      <c r="E12">
        <v>261</v>
      </c>
    </row>
    <row r="13" spans="1:5" x14ac:dyDescent="0.35">
      <c r="A13" t="s">
        <v>31</v>
      </c>
      <c r="B13" t="s">
        <v>29</v>
      </c>
      <c r="C13" t="s">
        <v>32</v>
      </c>
      <c r="D13">
        <v>4</v>
      </c>
      <c r="E13">
        <v>396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heetViews>
  <sheetFormatPr defaultRowHeight="14.5" x14ac:dyDescent="0.35"/>
  <sheetData>
    <row r="1" spans="1:3" x14ac:dyDescent="0.35">
      <c r="A1" t="s">
        <v>8</v>
      </c>
      <c r="B1" t="s">
        <v>33</v>
      </c>
    </row>
    <row r="3" spans="1:3" x14ac:dyDescent="0.35">
      <c r="A3" s="4" t="s">
        <v>34</v>
      </c>
      <c r="B3" s="4" t="s">
        <v>35</v>
      </c>
      <c r="C3" s="4" t="s">
        <v>36</v>
      </c>
    </row>
    <row r="4" spans="1:3" x14ac:dyDescent="0.35">
      <c r="A4" t="s">
        <v>26</v>
      </c>
      <c r="B4">
        <v>1529</v>
      </c>
      <c r="C4">
        <v>31</v>
      </c>
    </row>
    <row r="5" spans="1:3" x14ac:dyDescent="0.35">
      <c r="A5" t="s">
        <v>30</v>
      </c>
      <c r="B5">
        <v>773</v>
      </c>
      <c r="C5">
        <v>17</v>
      </c>
    </row>
    <row r="6" spans="1:3" x14ac:dyDescent="0.35">
      <c r="A6" t="s">
        <v>31</v>
      </c>
      <c r="B6">
        <v>1186</v>
      </c>
      <c r="C6">
        <v>24</v>
      </c>
    </row>
    <row r="7" spans="1:3" x14ac:dyDescent="0.35">
      <c r="A7" s="4" t="s">
        <v>37</v>
      </c>
      <c r="B7" s="4">
        <v>3488</v>
      </c>
      <c r="C7" s="4">
        <v>72</v>
      </c>
    </row>
    <row r="12" spans="1:3" x14ac:dyDescent="0.35">
      <c r="A12" s="4" t="s">
        <v>34</v>
      </c>
      <c r="B12" s="4" t="s">
        <v>36</v>
      </c>
    </row>
    <row r="13" spans="1:3" x14ac:dyDescent="0.35">
      <c r="A13" t="s">
        <v>27</v>
      </c>
      <c r="B13">
        <v>52</v>
      </c>
    </row>
    <row r="14" spans="1:3" x14ac:dyDescent="0.35">
      <c r="A14" t="s">
        <v>29</v>
      </c>
      <c r="B14">
        <v>20</v>
      </c>
    </row>
    <row r="15" spans="1:3" x14ac:dyDescent="0.35">
      <c r="A15" s="4" t="s">
        <v>37</v>
      </c>
      <c r="B15" s="4">
        <v>72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Assumptions</vt:lpstr>
      <vt:lpstr>Revenue</vt:lpstr>
      <vt:lpstr>P&amp;L</vt:lpstr>
      <vt:lpstr>Summary</vt:lpstr>
      <vt:lpstr>Sales</vt:lpstr>
      <vt:lpstr>Pivots</vt:lpstr>
      <vt:lpstr>Churn</vt:lpstr>
      <vt:lpstr>CogsShare</vt:lpstr>
      <vt:lpstr>NewSeats</vt:lpstr>
      <vt:lpstr>Opex</vt:lpstr>
      <vt:lpstr>Price</vt:lpstr>
      <vt:lpstr>StartSeats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Brightwell Analytics model</dc:title>
  <dc:creator>Lineage fixture generator</dc:creator>
  <cp:lastModifiedBy>Lineage fixture generator</cp:lastModifiedBy>
  <dcterms:created xsi:type="dcterms:W3CDTF">2026-01-01T00:00:00Z</dcterms:created>
  <dcterms:modified xsi:type="dcterms:W3CDTF">2026-10-19T19:03:55Z</dcterms:modified>
</cp:coreProperties>
</file>