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0F454BEE-3C20-4D46-86A1-4A1F44667D8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tartSeats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5" i="3"/>
  <c r="B5" i="3"/>
  <c r="B2" i="2"/>
  <c r="C2" i="2" s="1"/>
  <c r="D2" i="2" l="1"/>
  <c r="E2" i="2" s="1"/>
  <c r="B3" i="2"/>
  <c r="C3" i="2" l="1"/>
  <c r="B4" i="2"/>
  <c r="D3" i="2" l="1"/>
  <c r="C4" i="2"/>
  <c r="B5" i="2"/>
  <c r="B6" i="2" l="1"/>
  <c r="C5" i="2"/>
  <c r="D4" i="2"/>
  <c r="E4" i="2" s="1"/>
  <c r="E3" i="2"/>
  <c r="C6" i="2" l="1"/>
  <c r="B7" i="2"/>
  <c r="D5" i="2"/>
  <c r="E5" i="2"/>
  <c r="B8" i="2" l="1"/>
  <c r="C7" i="2"/>
  <c r="D6" i="2"/>
  <c r="E6" i="2" s="1"/>
  <c r="D7" i="2" l="1"/>
  <c r="E7" i="2" s="1"/>
  <c r="C8" i="2"/>
  <c r="B9" i="2"/>
  <c r="D8" i="2" l="1"/>
  <c r="E8" i="2" s="1"/>
  <c r="C9" i="2"/>
  <c r="B10" i="2"/>
  <c r="B11" i="2" l="1"/>
  <c r="C10" i="2"/>
  <c r="D9" i="2"/>
  <c r="E9" i="2"/>
  <c r="D10" i="2" l="1"/>
  <c r="E10" i="2" s="1"/>
  <c r="B12" i="2"/>
  <c r="C11" i="2"/>
  <c r="D11" i="2" l="1"/>
  <c r="E11" i="2" s="1"/>
  <c r="C12" i="2"/>
  <c r="B13" i="2"/>
  <c r="C13" i="2" l="1"/>
  <c r="B14" i="2"/>
  <c r="D12" i="2"/>
  <c r="E12" i="2" s="1"/>
  <c r="B15" i="2" l="1"/>
  <c r="C14" i="2"/>
  <c r="D13" i="2"/>
  <c r="B3" i="3" s="1"/>
  <c r="B2" i="3"/>
  <c r="E13" i="2" l="1"/>
  <c r="B4" i="3"/>
  <c r="B6" i="3" s="1"/>
  <c r="B2" i="4"/>
  <c r="D14" i="2"/>
  <c r="B16" i="2"/>
  <c r="C15" i="2"/>
  <c r="D15" i="2" l="1"/>
  <c r="E15" i="2" s="1"/>
  <c r="C16" i="2"/>
  <c r="B17" i="2"/>
  <c r="E14" i="2"/>
  <c r="C17" i="2" l="1"/>
  <c r="B18" i="2"/>
  <c r="D16" i="2"/>
  <c r="E16" i="2" s="1"/>
  <c r="D17" i="2" l="1"/>
  <c r="E17" i="2" s="1"/>
  <c r="B19" i="2"/>
  <c r="C18" i="2"/>
  <c r="D18" i="2" l="1"/>
  <c r="E18" i="2" s="1"/>
  <c r="C19" i="2"/>
  <c r="B20" i="2"/>
  <c r="D19" i="2" l="1"/>
  <c r="E19" i="2" s="1"/>
  <c r="C20" i="2"/>
  <c r="B21" i="2"/>
  <c r="C21" i="2" l="1"/>
  <c r="B22" i="2"/>
  <c r="D20" i="2"/>
  <c r="E20" i="2" s="1"/>
  <c r="C22" i="2" l="1"/>
  <c r="B23" i="2"/>
  <c r="D21" i="2"/>
  <c r="E21" i="2" s="1"/>
  <c r="C23" i="2" l="1"/>
  <c r="B24" i="2"/>
  <c r="D22" i="2"/>
  <c r="E22" i="2" s="1"/>
  <c r="C24" i="2" l="1"/>
  <c r="B25" i="2"/>
  <c r="D23" i="2"/>
  <c r="E23" i="2"/>
  <c r="B5" i="4" l="1"/>
  <c r="C25" i="2"/>
  <c r="D24" i="2"/>
  <c r="E24" i="2" s="1"/>
  <c r="D25" i="2" l="1"/>
  <c r="C3" i="3" s="1"/>
  <c r="C2" i="3"/>
  <c r="B3" i="4" l="1"/>
  <c r="C4" i="3"/>
  <c r="C6" i="3" s="1"/>
  <c r="B4" i="4" s="1"/>
  <c r="E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Whitfield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Based on the Q3 pipeline.</t>
        </r>
      </text>
    </comment>
  </commentList>
</comments>
</file>

<file path=xl/sharedStrings.xml><?xml version="1.0" encoding="utf-8"?>
<sst xmlns="http://schemas.openxmlformats.org/spreadsheetml/2006/main" count="26" uniqueCount="24">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</sst>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15</v>
      </c>
    </row>
    <row r="4" spans="1:2" x14ac:dyDescent="0.35">
      <c r="A4" t="s">
        <v>4</v>
      </c>
      <c r="B4" s="5">
        <v>55</v>
      </c>
    </row>
    <row r="5" spans="1:2" x14ac:dyDescent="0.35">
      <c r="A5" t="s">
        <v>5</v>
      </c>
      <c r="B5" s="6">
        <v>0.02</v>
      </c>
    </row>
    <row r="6" spans="1:2" x14ac:dyDescent="0.35">
      <c r="A6" t="s">
        <v>6</v>
      </c>
      <c r="B6" s="1">
        <v>0.18</v>
      </c>
    </row>
    <row r="7" spans="1:2" x14ac:dyDescent="0.35">
      <c r="A7" t="s">
        <v>7</v>
      </c>
      <c r="B7" s="5">
        <v>85000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5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35">
      <c r="A2">
        <v>1</v>
      </c>
      <c r="B2" s="2">
        <f>StartSeats</f>
        <v>120</v>
      </c>
      <c r="C2" s="7">
        <f t="shared" ref="C2:C25" si="0">B2*Price*(1-Churn)</f>
        <v>6468</v>
      </c>
      <c r="D2" s="7">
        <f t="shared" ref="D2:D25" si="1">C2*CogsShare</f>
        <v>1164.24</v>
      </c>
      <c r="E2" s="7">
        <f t="shared" ref="E2:E25" si="2">C2-D2</f>
        <v>5303.76</v>
      </c>
    </row>
    <row r="3" spans="1:5" x14ac:dyDescent="0.35">
      <c r="A3">
        <v>2</v>
      </c>
      <c r="B3" s="2">
        <f t="shared" ref="B3:B25" si="3">B2+NewSeats</f>
        <v>135</v>
      </c>
      <c r="C3" s="7">
        <f t="shared" si="0"/>
        <v>7276.5</v>
      </c>
      <c r="D3" s="7">
        <f t="shared" si="1"/>
        <v>1309.77</v>
      </c>
      <c r="E3" s="7">
        <f t="shared" si="2"/>
        <v>5966.73</v>
      </c>
    </row>
    <row r="4" spans="1:5" x14ac:dyDescent="0.35">
      <c r="A4">
        <v>3</v>
      </c>
      <c r="B4" s="2">
        <f t="shared" si="3"/>
        <v>150</v>
      </c>
      <c r="C4" s="7">
        <f t="shared" si="0"/>
        <v>8085</v>
      </c>
      <c r="D4" s="7">
        <f t="shared" si="1"/>
        <v>1455.3</v>
      </c>
      <c r="E4" s="7">
        <f t="shared" si="2"/>
        <v>6629.7</v>
      </c>
    </row>
    <row r="5" spans="1:5" x14ac:dyDescent="0.35">
      <c r="A5">
        <v>4</v>
      </c>
      <c r="B5" s="2">
        <f t="shared" si="3"/>
        <v>165</v>
      </c>
      <c r="C5" s="7">
        <f t="shared" si="0"/>
        <v>8893.5</v>
      </c>
      <c r="D5" s="7">
        <f t="shared" si="1"/>
        <v>1600.83</v>
      </c>
      <c r="E5" s="7">
        <f t="shared" si="2"/>
        <v>7292.67</v>
      </c>
    </row>
    <row r="6" spans="1:5" x14ac:dyDescent="0.35">
      <c r="A6">
        <v>5</v>
      </c>
      <c r="B6" s="2">
        <f t="shared" si="3"/>
        <v>180</v>
      </c>
      <c r="C6" s="7">
        <f t="shared" si="0"/>
        <v>9702</v>
      </c>
      <c r="D6" s="7">
        <f t="shared" si="1"/>
        <v>1746.36</v>
      </c>
      <c r="E6" s="7">
        <f t="shared" si="2"/>
        <v>7955.64</v>
      </c>
    </row>
    <row r="7" spans="1:5" x14ac:dyDescent="0.35">
      <c r="A7">
        <v>6</v>
      </c>
      <c r="B7" s="2">
        <f t="shared" si="3"/>
        <v>195</v>
      </c>
      <c r="C7" s="7">
        <f t="shared" si="0"/>
        <v>10510.5</v>
      </c>
      <c r="D7" s="7">
        <f t="shared" si="1"/>
        <v>1891.8899999999999</v>
      </c>
      <c r="E7" s="7">
        <f t="shared" si="2"/>
        <v>8618.61</v>
      </c>
    </row>
    <row r="8" spans="1:5" x14ac:dyDescent="0.35">
      <c r="A8">
        <v>7</v>
      </c>
      <c r="B8" s="2">
        <f t="shared" si="3"/>
        <v>210</v>
      </c>
      <c r="C8" s="7">
        <f t="shared" si="0"/>
        <v>11319</v>
      </c>
      <c r="D8" s="7">
        <f t="shared" si="1"/>
        <v>2037.4199999999998</v>
      </c>
      <c r="E8" s="7">
        <f t="shared" si="2"/>
        <v>9281.58</v>
      </c>
    </row>
    <row r="9" spans="1:5" x14ac:dyDescent="0.35">
      <c r="A9">
        <v>8</v>
      </c>
      <c r="B9" s="2">
        <f t="shared" si="3"/>
        <v>225</v>
      </c>
      <c r="C9" s="7">
        <f t="shared" si="0"/>
        <v>12127.5</v>
      </c>
      <c r="D9" s="7">
        <f t="shared" si="1"/>
        <v>2182.9499999999998</v>
      </c>
      <c r="E9" s="7">
        <f t="shared" si="2"/>
        <v>9944.5499999999993</v>
      </c>
    </row>
    <row r="10" spans="1:5" x14ac:dyDescent="0.35">
      <c r="A10">
        <v>9</v>
      </c>
      <c r="B10" s="2">
        <f t="shared" si="3"/>
        <v>240</v>
      </c>
      <c r="C10" s="7">
        <f t="shared" si="0"/>
        <v>12936</v>
      </c>
      <c r="D10" s="7">
        <f t="shared" si="1"/>
        <v>2328.48</v>
      </c>
      <c r="E10" s="7">
        <f t="shared" si="2"/>
        <v>10607.52</v>
      </c>
    </row>
    <row r="11" spans="1:5" x14ac:dyDescent="0.35">
      <c r="A11">
        <v>10</v>
      </c>
      <c r="B11" s="2">
        <f t="shared" si="3"/>
        <v>255</v>
      </c>
      <c r="C11" s="7">
        <f t="shared" si="0"/>
        <v>13744.5</v>
      </c>
      <c r="D11" s="7">
        <f t="shared" si="1"/>
        <v>2474.0099999999998</v>
      </c>
      <c r="E11" s="7">
        <f t="shared" si="2"/>
        <v>11270.49</v>
      </c>
    </row>
    <row r="12" spans="1:5" x14ac:dyDescent="0.35">
      <c r="A12">
        <v>11</v>
      </c>
      <c r="B12" s="2">
        <f t="shared" si="3"/>
        <v>270</v>
      </c>
      <c r="C12" s="7">
        <f t="shared" si="0"/>
        <v>14553</v>
      </c>
      <c r="D12" s="7">
        <f t="shared" si="1"/>
        <v>2619.54</v>
      </c>
      <c r="E12" s="7">
        <f t="shared" si="2"/>
        <v>11933.46</v>
      </c>
    </row>
    <row r="13" spans="1:5" x14ac:dyDescent="0.35">
      <c r="A13">
        <v>12</v>
      </c>
      <c r="B13" s="2">
        <f t="shared" si="3"/>
        <v>285</v>
      </c>
      <c r="C13" s="7">
        <f t="shared" si="0"/>
        <v>15361.5</v>
      </c>
      <c r="D13" s="7">
        <f t="shared" si="1"/>
        <v>2765.0699999999997</v>
      </c>
      <c r="E13" s="7">
        <f t="shared" si="2"/>
        <v>12596.43</v>
      </c>
    </row>
    <row r="14" spans="1:5" x14ac:dyDescent="0.35">
      <c r="A14">
        <v>13</v>
      </c>
      <c r="B14" s="2">
        <f t="shared" si="3"/>
        <v>300</v>
      </c>
      <c r="C14" s="7">
        <f t="shared" si="0"/>
        <v>16170</v>
      </c>
      <c r="D14" s="7">
        <f t="shared" si="1"/>
        <v>2910.6</v>
      </c>
      <c r="E14" s="7">
        <f t="shared" si="2"/>
        <v>13259.4</v>
      </c>
    </row>
    <row r="15" spans="1:5" x14ac:dyDescent="0.35">
      <c r="A15">
        <v>14</v>
      </c>
      <c r="B15" s="2">
        <f t="shared" si="3"/>
        <v>315</v>
      </c>
      <c r="C15" s="7">
        <f t="shared" si="0"/>
        <v>16978.5</v>
      </c>
      <c r="D15" s="7">
        <f t="shared" si="1"/>
        <v>3056.13</v>
      </c>
      <c r="E15" s="7">
        <f t="shared" si="2"/>
        <v>13922.369999999999</v>
      </c>
    </row>
    <row r="16" spans="1:5" x14ac:dyDescent="0.35">
      <c r="A16">
        <v>15</v>
      </c>
      <c r="B16" s="2">
        <f t="shared" si="3"/>
        <v>330</v>
      </c>
      <c r="C16" s="7">
        <f t="shared" si="0"/>
        <v>17787</v>
      </c>
      <c r="D16" s="7">
        <f t="shared" si="1"/>
        <v>3201.66</v>
      </c>
      <c r="E16" s="7">
        <f t="shared" si="2"/>
        <v>14585.34</v>
      </c>
    </row>
    <row r="17" spans="1:5" x14ac:dyDescent="0.35">
      <c r="A17">
        <v>16</v>
      </c>
      <c r="B17" s="2">
        <f t="shared" si="3"/>
        <v>345</v>
      </c>
      <c r="C17" s="7">
        <f t="shared" si="0"/>
        <v>18595.5</v>
      </c>
      <c r="D17" s="7">
        <f t="shared" si="1"/>
        <v>3347.19</v>
      </c>
      <c r="E17" s="7">
        <f t="shared" si="2"/>
        <v>15248.31</v>
      </c>
    </row>
    <row r="18" spans="1:5" x14ac:dyDescent="0.35">
      <c r="A18">
        <v>17</v>
      </c>
      <c r="B18" s="2">
        <f t="shared" si="3"/>
        <v>360</v>
      </c>
      <c r="C18" s="7">
        <f t="shared" si="0"/>
        <v>19404</v>
      </c>
      <c r="D18" s="7">
        <f t="shared" si="1"/>
        <v>3492.72</v>
      </c>
      <c r="E18" s="7">
        <f t="shared" si="2"/>
        <v>15911.28</v>
      </c>
    </row>
    <row r="19" spans="1:5" x14ac:dyDescent="0.35">
      <c r="A19">
        <v>18</v>
      </c>
      <c r="B19" s="2">
        <f t="shared" si="3"/>
        <v>375</v>
      </c>
      <c r="C19" s="7">
        <f t="shared" si="0"/>
        <v>20212.5</v>
      </c>
      <c r="D19" s="7">
        <f t="shared" si="1"/>
        <v>3638.25</v>
      </c>
      <c r="E19" s="7">
        <f t="shared" si="2"/>
        <v>16574.25</v>
      </c>
    </row>
    <row r="20" spans="1:5" x14ac:dyDescent="0.35">
      <c r="A20">
        <v>19</v>
      </c>
      <c r="B20" s="2">
        <f t="shared" si="3"/>
        <v>390</v>
      </c>
      <c r="C20" s="7">
        <f t="shared" si="0"/>
        <v>21021</v>
      </c>
      <c r="D20" s="7">
        <f t="shared" si="1"/>
        <v>3783.7799999999997</v>
      </c>
      <c r="E20" s="7">
        <f t="shared" si="2"/>
        <v>17237.22</v>
      </c>
    </row>
    <row r="21" spans="1:5" x14ac:dyDescent="0.35">
      <c r="A21">
        <v>20</v>
      </c>
      <c r="B21" s="2">
        <f t="shared" si="3"/>
        <v>405</v>
      </c>
      <c r="C21" s="7">
        <f t="shared" si="0"/>
        <v>21829.5</v>
      </c>
      <c r="D21" s="7">
        <f t="shared" si="1"/>
        <v>3929.31</v>
      </c>
      <c r="E21" s="7">
        <f t="shared" si="2"/>
        <v>17900.189999999999</v>
      </c>
    </row>
    <row r="22" spans="1:5" x14ac:dyDescent="0.35">
      <c r="A22">
        <v>21</v>
      </c>
      <c r="B22" s="2">
        <f t="shared" si="3"/>
        <v>420</v>
      </c>
      <c r="C22" s="7">
        <f t="shared" si="0"/>
        <v>22638</v>
      </c>
      <c r="D22" s="7">
        <f t="shared" si="1"/>
        <v>4074.8399999999997</v>
      </c>
      <c r="E22" s="7">
        <f t="shared" si="2"/>
        <v>18563.16</v>
      </c>
    </row>
    <row r="23" spans="1:5" x14ac:dyDescent="0.35">
      <c r="A23">
        <v>22</v>
      </c>
      <c r="B23" s="2">
        <f t="shared" si="3"/>
        <v>435</v>
      </c>
      <c r="C23" s="7">
        <f t="shared" si="0"/>
        <v>23446.5</v>
      </c>
      <c r="D23" s="7">
        <f t="shared" si="1"/>
        <v>4220.37</v>
      </c>
      <c r="E23" s="7">
        <f t="shared" si="2"/>
        <v>19226.13</v>
      </c>
    </row>
    <row r="24" spans="1:5" x14ac:dyDescent="0.35">
      <c r="A24">
        <v>23</v>
      </c>
      <c r="B24" s="2">
        <f t="shared" si="3"/>
        <v>450</v>
      </c>
      <c r="C24" s="7">
        <f t="shared" si="0"/>
        <v>24255</v>
      </c>
      <c r="D24" s="7">
        <f t="shared" si="1"/>
        <v>4365.8999999999996</v>
      </c>
      <c r="E24" s="7">
        <f t="shared" si="2"/>
        <v>19889.099999999999</v>
      </c>
    </row>
    <row r="25" spans="1:5" x14ac:dyDescent="0.35">
      <c r="A25">
        <v>24</v>
      </c>
      <c r="B25" s="2">
        <f t="shared" si="3"/>
        <v>465</v>
      </c>
      <c r="C25" s="7">
        <f t="shared" si="0"/>
        <v>25063.5</v>
      </c>
      <c r="D25" s="7">
        <f t="shared" si="1"/>
        <v>4511.4299999999994</v>
      </c>
      <c r="E25" s="7">
        <f t="shared" si="2"/>
        <v>20552.07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B1" s="4" t="s">
        <v>13</v>
      </c>
      <c r="C1" s="4" t="s">
        <v>14</v>
      </c>
    </row>
    <row r="2" spans="1:3" x14ac:dyDescent="0.35">
      <c r="A2" t="s">
        <v>15</v>
      </c>
      <c r="B2" s="5">
        <f>SUM(Revenue!C2:C13)</f>
        <v>130977</v>
      </c>
      <c r="C2" s="5">
        <f>SUM(Revenue!C14:C25)</f>
        <v>247401</v>
      </c>
    </row>
    <row r="3" spans="1:3" x14ac:dyDescent="0.35">
      <c r="A3" t="s">
        <v>11</v>
      </c>
      <c r="B3" s="5">
        <f>SUM(Revenue!D2:D13)</f>
        <v>23575.859999999997</v>
      </c>
      <c r="C3" s="5">
        <f>SUM(Revenue!D14:D25)</f>
        <v>44532.18</v>
      </c>
    </row>
    <row r="4" spans="1:3" x14ac:dyDescent="0.35">
      <c r="A4" t="s">
        <v>12</v>
      </c>
      <c r="B4" s="5">
        <f>B2-B3</f>
        <v>107401.14</v>
      </c>
      <c r="C4" s="5">
        <f>C2-C3</f>
        <v>202868.82</v>
      </c>
    </row>
    <row r="5" spans="1:3" x14ac:dyDescent="0.35">
      <c r="A5" t="s">
        <v>16</v>
      </c>
      <c r="B5" s="5">
        <f>Opex*12</f>
        <v>1020000</v>
      </c>
      <c r="C5" s="5">
        <f>Opex*12</f>
        <v>1020000</v>
      </c>
    </row>
    <row r="6" spans="1:3" x14ac:dyDescent="0.35">
      <c r="A6" s="4" t="s">
        <v>17</v>
      </c>
      <c r="B6" s="5">
        <f>B4-B5</f>
        <v>-912598.86</v>
      </c>
      <c r="C6" s="5">
        <f>C4-C5</f>
        <v>-817131.17999999993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4" customWidth="1"/>
    <col min="2" max="2" width="16" customWidth="1"/>
  </cols>
  <sheetData>
    <row r="1" spans="1:2" x14ac:dyDescent="0.35">
      <c r="A1" s="8" t="s">
        <v>18</v>
      </c>
      <c r="B1" s="9"/>
    </row>
    <row r="2" spans="1:2" x14ac:dyDescent="0.35">
      <c r="A2" t="s">
        <v>19</v>
      </c>
      <c r="B2" s="5">
        <f>'P&amp;L'!B2</f>
        <v>130977</v>
      </c>
    </row>
    <row r="3" spans="1:2" x14ac:dyDescent="0.35">
      <c r="A3" t="s">
        <v>20</v>
      </c>
      <c r="B3" s="5">
        <f>'P&amp;L'!C2</f>
        <v>247401</v>
      </c>
    </row>
    <row r="4" spans="1:2" x14ac:dyDescent="0.35">
      <c r="A4" t="s">
        <v>21</v>
      </c>
      <c r="B4" s="5">
        <f>'P&amp;L'!C6</f>
        <v>-817131.17999999993</v>
      </c>
    </row>
    <row r="5" spans="1:2" x14ac:dyDescent="0.35">
      <c r="A5" t="s">
        <v>22</v>
      </c>
      <c r="B5" s="2">
        <f>Revenue!B25</f>
        <v>465</v>
      </c>
    </row>
    <row r="6" spans="1:2" x14ac:dyDescent="0.35">
      <c r="A6" t="s">
        <v>23</v>
      </c>
      <c r="B6" s="3">
        <f ca="1">TODAY()</f>
        <v>46312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Assumptions</vt:lpstr>
      <vt:lpstr>Revenue</vt:lpstr>
      <vt:lpstr>P&amp;L</vt:lpstr>
      <vt:lpstr>Summary</vt:lpstr>
      <vt:lpstr>Churn</vt:lpstr>
      <vt:lpstr>CogsShare</vt:lpstr>
      <vt:lpstr>NewSeats</vt:lpstr>
      <vt:lpstr>Opex</vt:lpstr>
      <vt:lpstr>Price</vt:lpstr>
      <vt:lpstr>StartSeats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2026-10-18T02:49:24Z</dcterms:modified>
</cp:coreProperties>
</file>